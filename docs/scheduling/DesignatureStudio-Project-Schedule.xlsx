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tings" sheetId="1" state="visible" r:id="rId1"/>
    <sheet name="Schedule" sheetId="2" state="visible" r:id="rId2"/>
  </sheets>
  <definedNames/>
  <calcPr calcId="124519" fullCalcOnLoad="1"/>
</workbook>
</file>

<file path=xl/styles.xml><?xml version="1.0" encoding="utf-8"?>
<styleSheet xmlns="http://schemas.openxmlformats.org/spreadsheetml/2006/main">
  <numFmts count="8">
    <numFmt numFmtId="164" formatCode="dd mmm yyyy"/>
    <numFmt numFmtId="165" formatCode="yyyy-mm-dd"/>
    <numFmt numFmtId="166" formatCode="0.0"/>
    <numFmt numFmtId="167" formatCode="dd mmm yy"/>
    <numFmt numFmtId="168" formatCode="0;;"/>
    <numFmt numFmtId="169" formatCode="dd mmm yy;;"/>
    <numFmt numFmtId="170" formatCode="dd mmm"/>
    <numFmt numFmtId="171" formatCode="0%;;"/>
  </numFmts>
  <fonts count="15">
    <font>
      <name val="Calibri"/>
      <family val="2"/>
      <color theme="1"/>
      <sz val="11"/>
      <scheme val="minor"/>
    </font>
    <font>
      <name val="Arial"/>
      <b val="1"/>
      <sz val="14"/>
    </font>
    <font>
      <name val="Arial"/>
      <i val="1"/>
      <color rgb="00666666"/>
      <sz val="10"/>
    </font>
    <font>
      <name val="Arial"/>
      <sz val="10"/>
    </font>
    <font>
      <name val="Arial"/>
      <color rgb="000000FF"/>
      <sz val="10"/>
    </font>
    <font>
      <name val="Arial"/>
      <b val="1"/>
      <color rgb="00FFFFFF"/>
      <sz val="10"/>
    </font>
    <font>
      <name val="Arial"/>
      <color rgb="00444444"/>
      <sz val="9"/>
    </font>
    <font>
      <name val="Arial"/>
      <b val="1"/>
      <sz val="10"/>
    </font>
    <font>
      <name val="Arial"/>
      <color rgb="00444444"/>
      <sz val="10"/>
    </font>
    <font>
      <name val="Arial"/>
      <i val="1"/>
      <color rgb="00666666"/>
      <sz val="8"/>
    </font>
    <font>
      <name val="Arial"/>
      <color rgb="00888888"/>
      <sz val="10"/>
    </font>
    <font>
      <name val="Arial"/>
      <b val="1"/>
      <color rgb="00FFFFFF"/>
      <sz val="8"/>
    </font>
    <font>
      <name val="Arial"/>
      <b val="1"/>
      <color rgb="00666666"/>
      <sz val="9"/>
    </font>
    <font>
      <name val="Arial"/>
      <sz val="7"/>
    </font>
    <font>
      <name val="Arial"/>
      <color rgb="00000000"/>
      <sz val="10"/>
    </font>
  </fonts>
  <fills count="12">
    <fill>
      <patternFill/>
    </fill>
    <fill>
      <patternFill patternType="gray125"/>
    </fill>
    <fill>
      <patternFill patternType="solid">
        <fgColor rgb="00FFF9D6"/>
      </patternFill>
    </fill>
    <fill>
      <patternFill patternType="solid">
        <fgColor rgb="002B2B2B"/>
      </patternFill>
    </fill>
    <fill>
      <patternFill patternType="solid">
        <fgColor rgb="00DADADA"/>
      </patternFill>
    </fill>
    <fill>
      <patternFill patternType="solid">
        <fgColor rgb="009DB4A0"/>
      </patternFill>
    </fill>
    <fill>
      <patternFill patternType="solid">
        <fgColor rgb="00C9A27E"/>
      </patternFill>
    </fill>
    <fill>
      <patternFill patternType="solid">
        <fgColor rgb="00C4C4C4"/>
      </patternFill>
    </fill>
    <fill>
      <patternFill patternType="solid">
        <fgColor rgb="008FA7C2"/>
      </patternFill>
    </fill>
    <fill>
      <patternFill patternType="solid">
        <fgColor rgb="00B58E9E"/>
      </patternFill>
    </fill>
    <fill>
      <patternFill patternType="solid">
        <fgColor rgb="00E8D9B5"/>
      </patternFill>
    </fill>
    <fill>
      <patternFill patternType="solid">
        <fgColor rgb="00E0C3B0"/>
      </patternFill>
    </fill>
  </fills>
  <borders count="3">
    <border>
      <left/>
      <right/>
      <top/>
      <bottom/>
      <diagonal/>
    </border>
    <border>
      <left style="thin">
        <color rgb="00D0D0D0"/>
      </left>
      <right style="thin">
        <color rgb="00D0D0D0"/>
      </right>
      <top style="thin">
        <color rgb="00D0D0D0"/>
      </top>
      <bottom style="thin">
        <color rgb="00D0D0D0"/>
      </bottom>
    </border>
    <border>
      <left style="hair">
        <color rgb="00DDDDDD"/>
      </left>
      <right style="hair">
        <color rgb="00DDDDDD"/>
      </right>
      <top style="thin">
        <color rgb="00D0D0D0"/>
      </top>
      <bottom style="thin">
        <color rgb="00D0D0D0"/>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7" fillId="0" borderId="0" pivotButton="0" quotePrefix="0" xfId="0"/>
    <xf numFmtId="0" fontId="3" fillId="0" borderId="0" pivotButton="0" quotePrefix="0" xfId="0"/>
    <xf numFmtId="0" fontId="4" fillId="2" borderId="1" applyAlignment="1" pivotButton="0" quotePrefix="0" xfId="0">
      <alignment horizontal="center"/>
    </xf>
    <xf numFmtId="164" fontId="4" fillId="2" borderId="1" pivotButton="0" quotePrefix="0" xfId="0"/>
    <xf numFmtId="164" fontId="3" fillId="0" borderId="0" applyAlignment="1" pivotButton="0" quotePrefix="0" xfId="0">
      <alignment horizontal="center"/>
    </xf>
    <xf numFmtId="0" fontId="5" fillId="3" borderId="1" applyAlignment="1" pivotButton="0" quotePrefix="0" xfId="0">
      <alignment horizontal="center" vertical="center" wrapText="1"/>
    </xf>
    <xf numFmtId="0" fontId="3" fillId="0" borderId="1" pivotButton="0" quotePrefix="0" xfId="0"/>
    <xf numFmtId="0" fontId="3" fillId="0" borderId="1" applyAlignment="1" pivotButton="0" quotePrefix="0" xfId="0">
      <alignment horizontal="center"/>
    </xf>
    <xf numFmtId="0" fontId="6" fillId="0" borderId="1" pivotButton="0" quotePrefix="0" xfId="0"/>
    <xf numFmtId="0" fontId="7" fillId="0" borderId="1" pivotButton="0" quotePrefix="0" xfId="0"/>
    <xf numFmtId="0" fontId="0" fillId="0" borderId="1" pivotButton="0" quotePrefix="0" xfId="0"/>
    <xf numFmtId="0" fontId="7" fillId="0" borderId="1" applyAlignment="1" pivotButton="0" quotePrefix="0" xfId="0">
      <alignment horizontal="center"/>
    </xf>
    <xf numFmtId="0" fontId="8" fillId="0" borderId="0" pivotButton="0" quotePrefix="0" xfId="0"/>
    <xf numFmtId="0" fontId="9" fillId="0" borderId="0" applyAlignment="1" pivotButton="0" quotePrefix="0" xfId="0">
      <alignment horizontal="center"/>
    </xf>
    <xf numFmtId="0" fontId="12" fillId="0" borderId="0" pivotButton="0" quotePrefix="0" xfId="0"/>
    <xf numFmtId="170" fontId="11" fillId="3" borderId="0" applyAlignment="1" pivotButton="0" quotePrefix="0" xfId="0">
      <alignment horizontal="center" vertical="center" textRotation="90"/>
    </xf>
    <xf numFmtId="0" fontId="10" fillId="0" borderId="0" pivotButton="0" quotePrefix="0" xfId="0"/>
    <xf numFmtId="0" fontId="4" fillId="2" borderId="1" pivotButton="0" quotePrefix="0" xfId="0"/>
    <xf numFmtId="166" fontId="4" fillId="2" borderId="1" applyAlignment="1" pivotButton="0" quotePrefix="0" xfId="0">
      <alignment horizontal="center"/>
    </xf>
    <xf numFmtId="9" fontId="4" fillId="2" borderId="1" applyAlignment="1" pivotButton="0" quotePrefix="0" xfId="0">
      <alignment horizontal="center"/>
    </xf>
    <xf numFmtId="167" fontId="4" fillId="2" borderId="1" pivotButton="0" quotePrefix="0" xfId="0"/>
    <xf numFmtId="168" fontId="3" fillId="0" borderId="1" applyAlignment="1" pivotButton="0" quotePrefix="0" xfId="0">
      <alignment horizontal="center"/>
    </xf>
    <xf numFmtId="169" fontId="3" fillId="0" borderId="1" applyAlignment="1" pivotButton="0" quotePrefix="0" xfId="0">
      <alignment horizontal="center"/>
    </xf>
    <xf numFmtId="0" fontId="0" fillId="0" borderId="2" pivotButton="0" quotePrefix="0" xfId="0"/>
    <xf numFmtId="0" fontId="9" fillId="0" borderId="0" pivotButton="0" quotePrefix="0" xfId="0"/>
    <xf numFmtId="171" fontId="13" fillId="0" borderId="1" applyAlignment="1" pivotButton="0" quotePrefix="0" xfId="0">
      <alignment horizontal="center"/>
    </xf>
    <xf numFmtId="0" fontId="14" fillId="4" borderId="0" pivotButton="0" quotePrefix="0" xfId="0"/>
    <xf numFmtId="0" fontId="14" fillId="5" borderId="0" pivotButton="0" quotePrefix="0" xfId="0"/>
    <xf numFmtId="0" fontId="14" fillId="6" borderId="0" pivotButton="0" quotePrefix="0" xfId="0"/>
    <xf numFmtId="0" fontId="14" fillId="7" borderId="0" pivotButton="0" quotePrefix="0" xfId="0"/>
    <xf numFmtId="0" fontId="14" fillId="8" borderId="0" pivotButton="0" quotePrefix="0" xfId="0"/>
    <xf numFmtId="0" fontId="14" fillId="9" borderId="0" pivotButton="0" quotePrefix="0" xfId="0"/>
    <xf numFmtId="0" fontId="14" fillId="10" borderId="0" pivotButton="0" quotePrefix="0" xfId="0"/>
    <xf numFmtId="0" fontId="14" fillId="11" borderId="0" pivotButton="0" quotePrefix="0" xfId="0"/>
  </cellXfs>
  <cellStyles count="1">
    <cellStyle name="Normal" xfId="0" builtinId="0" hidden="0"/>
  </cellStyles>
  <dxfs count="11">
    <dxf>
      <fill>
        <patternFill patternType="solid">
          <fgColor rgb="00DADADA"/>
          <bgColor rgb="00DADADA"/>
        </patternFill>
      </fill>
    </dxf>
    <dxf>
      <fill>
        <patternFill patternType="solid">
          <fgColor rgb="009DB4A0"/>
          <bgColor rgb="009DB4A0"/>
        </patternFill>
      </fill>
    </dxf>
    <dxf>
      <fill>
        <patternFill patternType="solid">
          <fgColor rgb="00C9A27E"/>
          <bgColor rgb="00C9A27E"/>
        </patternFill>
      </fill>
    </dxf>
    <dxf>
      <fill>
        <patternFill patternType="solid">
          <fgColor rgb="00C4C4C4"/>
          <bgColor rgb="00C4C4C4"/>
        </patternFill>
      </fill>
    </dxf>
    <dxf>
      <fill>
        <patternFill patternType="solid">
          <fgColor rgb="008FA7C2"/>
          <bgColor rgb="008FA7C2"/>
        </patternFill>
      </fill>
    </dxf>
    <dxf>
      <fill>
        <patternFill patternType="solid">
          <fgColor rgb="00B58E9E"/>
          <bgColor rgb="00B58E9E"/>
        </patternFill>
      </fill>
    </dxf>
    <dxf>
      <fill>
        <patternFill patternType="solid">
          <fgColor rgb="00E8D9B5"/>
          <bgColor rgb="00E8D9B5"/>
        </patternFill>
      </fill>
    </dxf>
    <dxf>
      <fill>
        <patternFill patternType="solid">
          <fgColor rgb="00E0C3B0"/>
          <bgColor rgb="00E0C3B0"/>
        </patternFill>
      </fill>
    </dxf>
    <dxf>
      <fill>
        <patternFill patternType="solid">
          <fgColor rgb="00C0392B"/>
          <bgColor rgb="00C0392B"/>
        </patternFill>
      </fill>
    </dxf>
    <dxf>
      <font>
        <name val="Arial"/>
        <b val="1"/>
        <color rgb="009C1C0F"/>
        <sz val="7"/>
      </font>
      <fill>
        <patternFill patternType="solid">
          <fgColor rgb="00F4B6AE"/>
          <bgColor rgb="00F4B6AE"/>
        </patternFill>
      </fill>
    </dxf>
    <dxf>
      <fill>
        <patternFill patternType="solid">
          <fgColor rgb="00D5E8D4"/>
          <bgColor rgb="00D5E8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K28"/>
  <sheetViews>
    <sheetView showGridLines="0" workbookViewId="0">
      <selection activeCell="A1" sqref="A1"/>
    </sheetView>
  </sheetViews>
  <sheetFormatPr baseColWidth="8" defaultRowHeight="15"/>
  <cols>
    <col width="2" customWidth="1" min="1" max="1"/>
    <col width="34" customWidth="1" min="2" max="2"/>
    <col width="12" customWidth="1" min="3" max="3"/>
    <col width="18" customWidth="1" min="4" max="4"/>
    <col width="18" customWidth="1" min="5" max="5"/>
    <col width="18" customWidth="1" min="6" max="6"/>
    <col width="12" customWidth="1" min="7" max="7"/>
    <col width="78" customWidth="1" min="8" max="8"/>
    <col width="3" customWidth="1" min="9" max="9"/>
    <col width="18" customWidth="1" min="10" max="10"/>
    <col width="40" customWidth="1" min="11" max="11"/>
  </cols>
  <sheetData>
    <row r="1">
      <c r="B1" s="1" t="inlineStr">
        <is>
          <t>Settings and reference durations</t>
        </is>
      </c>
    </row>
    <row r="2">
      <c r="B2" s="2" t="inlineStr">
        <is>
          <t>Blue text on cream is an input. Everything else is a formula.</t>
        </is>
      </c>
    </row>
    <row r="3">
      <c r="J3" s="3" t="inlineStr">
        <is>
          <t>Days off (holidays, leave)</t>
        </is>
      </c>
      <c r="K3" s="2" t="inlineStr">
        <is>
          <t>One date per cell. Skipped by all date formulas.</t>
        </is>
      </c>
    </row>
    <row r="4">
      <c r="B4" s="4" t="inlineStr">
        <is>
          <t>Working hours per day (Lara)</t>
        </is>
      </c>
      <c r="C4" s="5" t="n">
        <v>6</v>
      </c>
      <c r="D4" s="2" t="inlineStr">
        <is>
          <t>Her average, from Lara.</t>
        </is>
      </c>
      <c r="J4" s="6" t="n"/>
    </row>
    <row r="5">
      <c r="B5" s="4" t="inlineStr">
        <is>
          <t>Working days per week</t>
        </is>
      </c>
      <c r="C5" s="5" t="n">
        <v>5</v>
      </c>
      <c r="D5" s="2" t="inlineStr">
        <is>
          <t>Monday to Friday, confirmed.</t>
        </is>
      </c>
      <c r="J5" s="6" t="n"/>
    </row>
    <row r="6">
      <c r="B6" s="4" t="inlineStr">
        <is>
          <t>Reference apartment area (m2)</t>
        </is>
      </c>
      <c r="C6" s="5" t="n">
        <v>50</v>
      </c>
      <c r="D6" s="2" t="inlineStr">
        <is>
          <t>Size the reference weeks apply to.</t>
        </is>
      </c>
      <c r="J6" s="6" t="n"/>
    </row>
    <row r="7">
      <c r="B7" s="4" t="inlineStr">
        <is>
          <t>Idle working days between phases</t>
        </is>
      </c>
      <c r="C7" s="5" t="n">
        <v>0</v>
      </c>
      <c r="D7" s="2" t="inlineStr">
        <is>
          <t>Extra waiting time between any two phases. 0 = back to back.</t>
        </is>
      </c>
      <c r="J7" s="6" t="n"/>
    </row>
    <row r="8">
      <c r="B8" t="inlineStr">
        <is>
          <t>Gantt first week (Monday)</t>
        </is>
      </c>
      <c r="C8" s="7">
        <f>MIN(Schedule!$G$5:$G$34)-WEEKDAY(MIN(Schedule!$G$5:$G$34),2)+1</f>
        <v/>
      </c>
      <c r="D8" s="2" t="inlineStr">
        <is>
          <t>Monday of the earliest project start. Overwrite with a date to pin the timeline.</t>
        </is>
      </c>
      <c r="J8" s="6" t="n"/>
    </row>
    <row r="9">
      <c r="J9" s="6" t="n"/>
    </row>
    <row r="10">
      <c r="J10" s="6" t="n"/>
    </row>
    <row r="11" ht="30" customHeight="1">
      <c r="B11" s="8" t="inlineStr">
        <is>
          <t>Phase</t>
        </is>
      </c>
      <c r="C11" s="8" t="inlineStr">
        <is>
          <t>Owner</t>
        </is>
      </c>
      <c r="D11" s="8" t="inlineStr">
        <is>
          <t>Reference weeks</t>
        </is>
      </c>
      <c r="E11" s="8" t="inlineStr">
        <is>
          <t>Scaling exponent</t>
        </is>
      </c>
      <c r="F11" s="8" t="inlineStr">
        <is>
          <t>Ref. working days</t>
        </is>
      </c>
      <c r="G11" s="8" t="inlineStr">
        <is>
          <t>Ref. hours</t>
        </is>
      </c>
      <c r="H11" s="8" t="inlineStr">
        <is>
          <t>Why this scaling</t>
        </is>
      </c>
      <c r="J11" s="6" t="n"/>
    </row>
    <row r="12">
      <c r="B12" s="9" t="inlineStr">
        <is>
          <t>Brief and concept</t>
        </is>
      </c>
      <c r="C12" s="5" t="inlineStr">
        <is>
          <t>Anahit</t>
        </is>
      </c>
      <c r="D12" s="5" t="n">
        <v>1</v>
      </c>
      <c r="E12" s="5" t="n">
        <v>0</v>
      </c>
      <c r="F12" s="10">
        <f>D12*$C$5</f>
        <v/>
      </c>
      <c r="G12" s="10">
        <f>IF(C12="Lara",F12*$C$4,0)</f>
        <v/>
      </c>
      <c r="H12" s="11" t="inlineStr">
        <is>
          <t>Fixed. A conversation and a mood board take the same time at any size. Placeholder.</t>
        </is>
      </c>
      <c r="J12" s="6" t="n"/>
    </row>
    <row r="13">
      <c r="B13" s="9" t="inlineStr">
        <is>
          <t>Floor planning</t>
        </is>
      </c>
      <c r="C13" s="5" t="inlineStr">
        <is>
          <t>Lara</t>
        </is>
      </c>
      <c r="D13" s="5" t="n">
        <v>1</v>
      </c>
      <c r="E13" s="5" t="n">
        <v>0.5</v>
      </c>
      <c r="F13" s="10">
        <f>D13*$C$5</f>
        <v/>
      </c>
      <c r="G13" s="10">
        <f>IF(C13="Lara",F13*$C$4,0)</f>
        <v/>
      </c>
      <c r="H13" s="11" t="inlineStr">
        <is>
          <t>Layout effort follows room count and circulation problems, not area. Weak scaling.</t>
        </is>
      </c>
      <c r="J13" s="6" t="n"/>
    </row>
    <row r="14">
      <c r="B14" s="9" t="inlineStr">
        <is>
          <t>3D modeling</t>
        </is>
      </c>
      <c r="C14" s="5" t="inlineStr">
        <is>
          <t>Lara</t>
        </is>
      </c>
      <c r="D14" s="5" t="n">
        <v>2</v>
      </c>
      <c r="E14" s="5" t="n">
        <v>0.9</v>
      </c>
      <c r="F14" s="10">
        <f>D14*$C$5</f>
        <v/>
      </c>
      <c r="G14" s="10">
        <f>IF(C14="Lara",F14*$C$4,0)</f>
        <v/>
      </c>
      <c r="H14" s="11" t="inlineStr">
        <is>
          <t>Every surface gets modeled and materials assigned, so it tracks area closely.</t>
        </is>
      </c>
      <c r="J14" s="6" t="n"/>
    </row>
    <row r="15">
      <c r="B15" s="9" t="inlineStr">
        <is>
          <t>Client approval</t>
        </is>
      </c>
      <c r="C15" s="5" t="inlineStr">
        <is>
          <t>Anahit</t>
        </is>
      </c>
      <c r="D15" s="5" t="n">
        <v>1</v>
      </c>
      <c r="E15" s="5" t="n">
        <v>0</v>
      </c>
      <c r="F15" s="10">
        <f>D15*$C$5</f>
        <v/>
      </c>
      <c r="G15" s="10">
        <f>IF(C15="Lara",F15*$C$4,0)</f>
        <v/>
      </c>
      <c r="H15" s="11" t="inlineStr">
        <is>
          <t>Waiting on the client. Fixed. Placeholder.</t>
        </is>
      </c>
      <c r="J15" s="6" t="n"/>
    </row>
    <row r="16">
      <c r="B16" s="9" t="inlineStr">
        <is>
          <t>Technical drawings</t>
        </is>
      </c>
      <c r="C16" s="5" t="inlineStr">
        <is>
          <t>Lara</t>
        </is>
      </c>
      <c r="D16" s="5" t="n">
        <v>1</v>
      </c>
      <c r="E16" s="5" t="n">
        <v>0.8</v>
      </c>
      <c r="F16" s="10">
        <f>D16*$C$5</f>
        <v/>
      </c>
      <c r="G16" s="10">
        <f>IF(C16="Lara",F16*$C$4,0)</f>
        <v/>
      </c>
      <c r="H16" s="11" t="inlineStr">
        <is>
          <t>Sheet count follows rooms and wall and ceiling detail. Mostly area driven.</t>
        </is>
      </c>
      <c r="J16" s="6" t="n"/>
    </row>
    <row r="17">
      <c r="B17" s="9" t="inlineStr">
        <is>
          <t>Furniture drawings</t>
        </is>
      </c>
      <c r="C17" s="5" t="inlineStr">
        <is>
          <t>Lara</t>
        </is>
      </c>
      <c r="D17" s="5" t="n">
        <v>2</v>
      </c>
      <c r="E17" s="5" t="n">
        <v>0.7</v>
      </c>
      <c r="F17" s="10">
        <f>D17*$C$5</f>
        <v/>
      </c>
      <c r="G17" s="10">
        <f>IF(C17="Lara",F17*$C$4,0)</f>
        <v/>
      </c>
      <c r="H17" s="11" t="inlineStr">
        <is>
          <t>Driven by the number of custom pieces, which grows slower than area.</t>
        </is>
      </c>
      <c r="J17" s="6" t="n"/>
    </row>
    <row r="18">
      <c r="B18" s="9" t="inlineStr">
        <is>
          <t>Procurement</t>
        </is>
      </c>
      <c r="C18" s="5" t="inlineStr">
        <is>
          <t>Anahit</t>
        </is>
      </c>
      <c r="D18" s="5" t="n">
        <v>3</v>
      </c>
      <c r="E18" s="5" t="n">
        <v>0</v>
      </c>
      <c r="F18" s="10">
        <f>D18*$C$5</f>
        <v/>
      </c>
      <c r="G18" s="10">
        <f>IF(C18="Lara",F18*$C$4,0)</f>
        <v/>
      </c>
      <c r="H18" s="11" t="inlineStr">
        <is>
          <t>Ordering and lead times, mostly fixed. Placeholder.</t>
        </is>
      </c>
      <c r="J18" s="6" t="n"/>
    </row>
    <row r="19">
      <c r="B19" s="9" t="inlineStr">
        <is>
          <t>Site supervision</t>
        </is>
      </c>
      <c r="C19" s="5" t="inlineStr">
        <is>
          <t>Anahit</t>
        </is>
      </c>
      <c r="D19" s="5" t="n">
        <v>6</v>
      </c>
      <c r="E19" s="5" t="n">
        <v>0.5</v>
      </c>
      <c r="F19" s="10">
        <f>D19*$C$5</f>
        <v/>
      </c>
      <c r="G19" s="10">
        <f>IF(C19="Lara",F19*$C$4,0)</f>
        <v/>
      </c>
      <c r="H19" s="11" t="inlineStr">
        <is>
          <t>Longer for bigger sites but not in proportion. Placeholder.</t>
        </is>
      </c>
      <c r="J19" s="6" t="n"/>
    </row>
    <row r="20">
      <c r="B20" s="12" t="inlineStr">
        <is>
          <t>Total</t>
        </is>
      </c>
      <c r="C20" s="13" t="n"/>
      <c r="D20" s="14">
        <f>SUM(D12:D19)</f>
        <v/>
      </c>
      <c r="E20" s="13" t="n"/>
      <c r="F20" s="14">
        <f>SUM(F12:F19)</f>
        <v/>
      </c>
      <c r="G20" s="14">
        <f>SUM(G12:G19)</f>
        <v/>
      </c>
      <c r="H20" s="13" t="n"/>
      <c r="J20" s="6" t="n"/>
    </row>
    <row r="21">
      <c r="B21" s="2" t="inlineStr">
        <is>
          <t>Ref. hours counts Lara's phases only. Lara's four phases total 6 weeks, 30 days, 180 hours at 50 m2.</t>
        </is>
      </c>
      <c r="J21" s="6" t="n"/>
    </row>
    <row r="22">
      <c r="J22" s="6" t="n"/>
    </row>
    <row r="23">
      <c r="B23" s="3" t="inlineStr">
        <is>
          <t>How duration is calculated</t>
        </is>
      </c>
      <c r="J23" s="6" t="n"/>
    </row>
    <row r="24">
      <c r="B24" s="15" t="inlineStr">
        <is>
          <t>Working days = ref. weeks x days per week x (area / ref. area) ^ exponent, then x complexity / share of Lara's time (Lara phases only).</t>
        </is>
      </c>
    </row>
    <row r="25">
      <c r="B25" s="15" t="inlineStr">
        <is>
          <t>Exponent 1.0 would be strictly linear. Below 1.0, a larger apartment takes less time per m2. 0 means fixed regardless of size.</t>
        </is>
      </c>
    </row>
    <row r="26">
      <c r="B26" s="15" t="inlineStr">
        <is>
          <t>The exponents are my design judgement, not measured data. Compare against 3 or 4 finished projects and adjust.</t>
        </is>
      </c>
    </row>
    <row r="27">
      <c r="B27" s="15" t="inlineStr">
        <is>
          <t>Complexity (Schedule sheet) is a per project multiplier: 1.0 normal, above 1.0 for heavy joinery or tricky layouts.</t>
        </is>
      </c>
    </row>
    <row r="28">
      <c r="B28" s="15" t="inlineStr">
        <is>
          <t>Share of Lara's time: 100% means the reference pace. Two parallel projects at 50% each run at half pace, so each takes twice as long.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4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14" customWidth="1" min="3" max="3"/>
    <col width="9" customWidth="1" min="4" max="4"/>
    <col width="11" customWidth="1" min="5" max="5"/>
    <col width="11" customWidth="1" min="6" max="6"/>
    <col width="11" customWidth="1" min="7" max="7"/>
    <col width="10"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11" customWidth="1" min="33" max="33"/>
    <col width="10" customWidth="1" min="34" max="34"/>
    <col width="34" customWidth="1" min="35" max="35"/>
    <col width="2" customWidth="1" min="36" max="36"/>
    <col width="4.6" customWidth="1" min="37" max="37"/>
    <col width="4.6" customWidth="1" min="38" max="38"/>
    <col width="4.6"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4.6" customWidth="1" min="53" max="53"/>
    <col width="4.6" customWidth="1" min="54" max="54"/>
    <col width="4.6" customWidth="1" min="55" max="55"/>
    <col width="4.6" customWidth="1" min="56" max="56"/>
    <col width="4.6" customWidth="1" min="57" max="57"/>
    <col width="4.6" customWidth="1" min="58" max="58"/>
    <col width="4.6" customWidth="1" min="59" max="59"/>
    <col width="4.6" customWidth="1" min="60" max="60"/>
    <col width="4.6" customWidth="1" min="61" max="61"/>
    <col width="4.6" customWidth="1" min="62" max="62"/>
    <col width="4.6" customWidth="1" min="63" max="63"/>
    <col width="4.6" customWidth="1" min="64" max="64"/>
    <col width="4.6" customWidth="1" min="65" max="65"/>
    <col width="4.6" customWidth="1" min="66" max="66"/>
    <col width="4.6" customWidth="1" min="67" max="67"/>
    <col width="4.6" customWidth="1" min="68" max="68"/>
    <col width="4.6" customWidth="1" min="69" max="69"/>
    <col width="4.6" customWidth="1" min="70" max="70"/>
    <col width="4.6" customWidth="1" min="71" max="71"/>
    <col width="4.6" customWidth="1" min="72" max="72"/>
    <col width="4.6" customWidth="1" min="73" max="73"/>
    <col width="4.6" customWidth="1" min="74" max="74"/>
    <col width="4.6" customWidth="1" min="75" max="75"/>
    <col width="4.6" customWidth="1" min="76" max="76"/>
    <col width="4.6" customWidth="1" min="77" max="77"/>
    <col width="4.6" customWidth="1" min="78" max="78"/>
    <col width="4.6" customWidth="1" min="79" max="79"/>
    <col width="4.6" customWidth="1" min="80" max="80"/>
    <col width="4.6" customWidth="1" min="81" max="81"/>
    <col width="4.6" customWidth="1" min="82" max="82"/>
    <col width="4.6" customWidth="1" min="83" max="83"/>
    <col width="4.6" customWidth="1" min="84" max="84"/>
    <col width="4.6" customWidth="1" min="85" max="85"/>
    <col width="4.6" customWidth="1" min="86" max="86"/>
    <col width="4.6" customWidth="1" min="87" max="87"/>
    <col width="4.6" customWidth="1" min="88" max="88"/>
    <col width="4.6" customWidth="1" min="89" max="89"/>
    <col width="4.6" customWidth="1" min="90" max="90"/>
    <col width="4.6" customWidth="1" min="91" max="91"/>
    <col width="4.6" customWidth="1" min="92" max="92"/>
    <col width="4.6" customWidth="1" min="93" max="93"/>
    <col width="4.6" customWidth="1" min="94" max="94"/>
    <col width="4.6" customWidth="1" min="95" max="95"/>
    <col width="4.6" customWidth="1" min="96" max="96"/>
  </cols>
  <sheetData>
    <row r="1">
      <c r="A1" s="1" t="inlineStr">
        <is>
          <t>Designature Studio project schedule</t>
        </is>
      </c>
    </row>
    <row r="2">
      <c r="A2" s="2" t="inlineStr">
        <is>
          <t>Fill the blue columns B to H and Notes. Each project has its own start date, so projects run in parallel. The Lara load row at the bottom shows when she is overbooked. Examples 01 to 06 are invented placeholders.</t>
        </is>
      </c>
    </row>
    <row r="3">
      <c r="I3" s="16">
        <f>Settings!$C$12</f>
        <v/>
      </c>
      <c r="L3" s="16">
        <f>Settings!$C$13</f>
        <v/>
      </c>
      <c r="O3" s="16">
        <f>Settings!$C$14</f>
        <v/>
      </c>
      <c r="R3" s="16">
        <f>Settings!$C$15</f>
        <v/>
      </c>
      <c r="U3" s="16">
        <f>Settings!$C$16</f>
        <v/>
      </c>
      <c r="X3" s="16">
        <f>Settings!$C$17</f>
        <v/>
      </c>
      <c r="AA3" s="16">
        <f>Settings!$C$18</f>
        <v/>
      </c>
      <c r="AD3" s="16">
        <f>Settings!$C$19</f>
        <v/>
      </c>
      <c r="AK3" s="17" t="inlineStr">
        <is>
          <t>Weekly timeline, one column per week starting Monday</t>
        </is>
      </c>
    </row>
    <row r="4" ht="54" customHeight="1">
      <c r="A4" s="8" t="inlineStr">
        <is>
          <t>#</t>
        </is>
      </c>
      <c r="B4" s="8" t="inlineStr">
        <is>
          <t>Project</t>
        </is>
      </c>
      <c r="C4" s="8" t="inlineStr">
        <is>
          <t>Client</t>
        </is>
      </c>
      <c r="D4" s="8" t="inlineStr">
        <is>
          <t>Area (m2)</t>
        </is>
      </c>
      <c r="E4" s="8" t="inlineStr">
        <is>
          <t>Complexity</t>
        </is>
      </c>
      <c r="F4" s="8" t="inlineStr">
        <is>
          <t>Share of Lara's time</t>
        </is>
      </c>
      <c r="G4" s="8" t="inlineStr">
        <is>
          <t>Start</t>
        </is>
      </c>
      <c r="H4" s="8" t="inlineStr">
        <is>
          <t>Status</t>
        </is>
      </c>
      <c r="I4" s="8" t="inlineStr">
        <is>
          <t>Brief and concept
days</t>
        </is>
      </c>
      <c r="J4" s="8" t="inlineStr">
        <is>
          <t>start</t>
        </is>
      </c>
      <c r="K4" s="8" t="inlineStr">
        <is>
          <t>end</t>
        </is>
      </c>
      <c r="L4" s="8" t="inlineStr">
        <is>
          <t>Floor planning
days</t>
        </is>
      </c>
      <c r="M4" s="8" t="inlineStr">
        <is>
          <t>start</t>
        </is>
      </c>
      <c r="N4" s="8" t="inlineStr">
        <is>
          <t>end</t>
        </is>
      </c>
      <c r="O4" s="8" t="inlineStr">
        <is>
          <t>3D modeling
days</t>
        </is>
      </c>
      <c r="P4" s="8" t="inlineStr">
        <is>
          <t>start</t>
        </is>
      </c>
      <c r="Q4" s="8" t="inlineStr">
        <is>
          <t>end</t>
        </is>
      </c>
      <c r="R4" s="8" t="inlineStr">
        <is>
          <t>Client approval
days</t>
        </is>
      </c>
      <c r="S4" s="8" t="inlineStr">
        <is>
          <t>start</t>
        </is>
      </c>
      <c r="T4" s="8" t="inlineStr">
        <is>
          <t>end</t>
        </is>
      </c>
      <c r="U4" s="8" t="inlineStr">
        <is>
          <t>Technical drawings
days</t>
        </is>
      </c>
      <c r="V4" s="8" t="inlineStr">
        <is>
          <t>start</t>
        </is>
      </c>
      <c r="W4" s="8" t="inlineStr">
        <is>
          <t>end</t>
        </is>
      </c>
      <c r="X4" s="8" t="inlineStr">
        <is>
          <t>Furniture drawings
days</t>
        </is>
      </c>
      <c r="Y4" s="8" t="inlineStr">
        <is>
          <t>start</t>
        </is>
      </c>
      <c r="Z4" s="8" t="inlineStr">
        <is>
          <t>end</t>
        </is>
      </c>
      <c r="AA4" s="8" t="inlineStr">
        <is>
          <t>Procurement
days</t>
        </is>
      </c>
      <c r="AB4" s="8" t="inlineStr">
        <is>
          <t>start</t>
        </is>
      </c>
      <c r="AC4" s="8" t="inlineStr">
        <is>
          <t>end</t>
        </is>
      </c>
      <c r="AD4" s="8" t="inlineStr">
        <is>
          <t>Site supervision
days</t>
        </is>
      </c>
      <c r="AE4" s="8" t="inlineStr">
        <is>
          <t>start</t>
        </is>
      </c>
      <c r="AF4" s="8" t="inlineStr">
        <is>
          <t>end</t>
        </is>
      </c>
      <c r="AG4" s="8" t="inlineStr">
        <is>
          <t>Finish</t>
        </is>
      </c>
      <c r="AH4" s="8" t="inlineStr">
        <is>
          <t>Lara hours</t>
        </is>
      </c>
      <c r="AI4" s="8" t="inlineStr">
        <is>
          <t>Notes</t>
        </is>
      </c>
      <c r="AK4" s="18">
        <f>Settings!$C$8</f>
        <v/>
      </c>
      <c r="AL4" s="18">
        <f>AK4+7</f>
        <v/>
      </c>
      <c r="AM4" s="18">
        <f>AL4+7</f>
        <v/>
      </c>
      <c r="AN4" s="18">
        <f>AM4+7</f>
        <v/>
      </c>
      <c r="AO4" s="18">
        <f>AN4+7</f>
        <v/>
      </c>
      <c r="AP4" s="18">
        <f>AO4+7</f>
        <v/>
      </c>
      <c r="AQ4" s="18">
        <f>AP4+7</f>
        <v/>
      </c>
      <c r="AR4" s="18">
        <f>AQ4+7</f>
        <v/>
      </c>
      <c r="AS4" s="18">
        <f>AR4+7</f>
        <v/>
      </c>
      <c r="AT4" s="18">
        <f>AS4+7</f>
        <v/>
      </c>
      <c r="AU4" s="18">
        <f>AT4+7</f>
        <v/>
      </c>
      <c r="AV4" s="18">
        <f>AU4+7</f>
        <v/>
      </c>
      <c r="AW4" s="18">
        <f>AV4+7</f>
        <v/>
      </c>
      <c r="AX4" s="18">
        <f>AW4+7</f>
        <v/>
      </c>
      <c r="AY4" s="18">
        <f>AX4+7</f>
        <v/>
      </c>
      <c r="AZ4" s="18">
        <f>AY4+7</f>
        <v/>
      </c>
      <c r="BA4" s="18">
        <f>AZ4+7</f>
        <v/>
      </c>
      <c r="BB4" s="18">
        <f>BA4+7</f>
        <v/>
      </c>
      <c r="BC4" s="18">
        <f>BB4+7</f>
        <v/>
      </c>
      <c r="BD4" s="18">
        <f>BC4+7</f>
        <v/>
      </c>
      <c r="BE4" s="18">
        <f>BD4+7</f>
        <v/>
      </c>
      <c r="BF4" s="18">
        <f>BE4+7</f>
        <v/>
      </c>
      <c r="BG4" s="18">
        <f>BF4+7</f>
        <v/>
      </c>
      <c r="BH4" s="18">
        <f>BG4+7</f>
        <v/>
      </c>
      <c r="BI4" s="18">
        <f>BH4+7</f>
        <v/>
      </c>
      <c r="BJ4" s="18">
        <f>BI4+7</f>
        <v/>
      </c>
      <c r="BK4" s="18">
        <f>BJ4+7</f>
        <v/>
      </c>
      <c r="BL4" s="18">
        <f>BK4+7</f>
        <v/>
      </c>
      <c r="BM4" s="18">
        <f>BL4+7</f>
        <v/>
      </c>
      <c r="BN4" s="18">
        <f>BM4+7</f>
        <v/>
      </c>
      <c r="BO4" s="18">
        <f>BN4+7</f>
        <v/>
      </c>
      <c r="BP4" s="18">
        <f>BO4+7</f>
        <v/>
      </c>
      <c r="BQ4" s="18">
        <f>BP4+7</f>
        <v/>
      </c>
      <c r="BR4" s="18">
        <f>BQ4+7</f>
        <v/>
      </c>
      <c r="BS4" s="18">
        <f>BR4+7</f>
        <v/>
      </c>
      <c r="BT4" s="18">
        <f>BS4+7</f>
        <v/>
      </c>
      <c r="BU4" s="18">
        <f>BT4+7</f>
        <v/>
      </c>
      <c r="BV4" s="18">
        <f>BU4+7</f>
        <v/>
      </c>
      <c r="BW4" s="18">
        <f>BV4+7</f>
        <v/>
      </c>
      <c r="BX4" s="18">
        <f>BW4+7</f>
        <v/>
      </c>
      <c r="BY4" s="18">
        <f>BX4+7</f>
        <v/>
      </c>
      <c r="BZ4" s="18">
        <f>BY4+7</f>
        <v/>
      </c>
      <c r="CA4" s="18">
        <f>BZ4+7</f>
        <v/>
      </c>
      <c r="CB4" s="18">
        <f>CA4+7</f>
        <v/>
      </c>
      <c r="CC4" s="18">
        <f>CB4+7</f>
        <v/>
      </c>
      <c r="CD4" s="18">
        <f>CC4+7</f>
        <v/>
      </c>
      <c r="CE4" s="18">
        <f>CD4+7</f>
        <v/>
      </c>
      <c r="CF4" s="18">
        <f>CE4+7</f>
        <v/>
      </c>
      <c r="CG4" s="18">
        <f>CF4+7</f>
        <v/>
      </c>
      <c r="CH4" s="18">
        <f>CG4+7</f>
        <v/>
      </c>
      <c r="CI4" s="18">
        <f>CH4+7</f>
        <v/>
      </c>
      <c r="CJ4" s="18">
        <f>CI4+7</f>
        <v/>
      </c>
      <c r="CK4" s="18">
        <f>CJ4+7</f>
        <v/>
      </c>
      <c r="CL4" s="18">
        <f>CK4+7</f>
        <v/>
      </c>
      <c r="CM4" s="18">
        <f>CL4+7</f>
        <v/>
      </c>
      <c r="CN4" s="18">
        <f>CM4+7</f>
        <v/>
      </c>
      <c r="CO4" s="18">
        <f>CN4+7</f>
        <v/>
      </c>
      <c r="CP4" s="18">
        <f>CO4+7</f>
        <v/>
      </c>
      <c r="CQ4" s="18">
        <f>CP4+7</f>
        <v/>
      </c>
      <c r="CR4" s="18">
        <f>CQ4+7</f>
        <v/>
      </c>
    </row>
    <row r="5">
      <c r="A5" s="19" t="n">
        <v>1</v>
      </c>
      <c r="B5" s="20" t="inlineStr">
        <is>
          <t>Example 01</t>
        </is>
      </c>
      <c r="C5" s="20" t="inlineStr">
        <is>
          <t>Client A</t>
        </is>
      </c>
      <c r="D5" s="5" t="n">
        <v>50</v>
      </c>
      <c r="E5" s="21" t="n">
        <v>1</v>
      </c>
      <c r="F5" s="22" t="n">
        <v>1</v>
      </c>
      <c r="G5" s="23" t="n">
        <v>46300</v>
      </c>
      <c r="H5" s="5" t="inlineStr">
        <is>
          <t>Active</t>
        </is>
      </c>
      <c r="I5" s="24">
        <f>IF($D5="",0,IF(Settings!$D$12=0,0,MAX(1,ROUND(Settings!$D$12*Settings!$C$5*($D5/Settings!$C$6)^Settings!$E$12*IF(Settings!$C$12="Lara",$E5/$F5,1),0))))</f>
        <v/>
      </c>
      <c r="J5" s="25">
        <f>IF($G5="",0,WORKDAY($G5-1,1,Settings!$J$4:$J$23))</f>
        <v/>
      </c>
      <c r="K5" s="25">
        <f>IF(J5=0,0,IF(I5=0,J5,WORKDAY(J5,I5-1,Settings!$J$4:$J$23)))</f>
        <v/>
      </c>
      <c r="L5" s="24">
        <f>IF($D5="",0,IF(Settings!$D$13=0,0,MAX(1,ROUND(Settings!$D$13*Settings!$C$5*($D5/Settings!$C$6)^Settings!$E$13*IF(Settings!$C$13="Lara",$E5/$F5,1),0))))</f>
        <v/>
      </c>
      <c r="M5" s="25">
        <f>IF(K5=0,0,IF(L5=0,K5,WORKDAY(K5,1+Settings!$C$7,Settings!$J$4:$J$23)))</f>
        <v/>
      </c>
      <c r="N5" s="25">
        <f>IF(M5=0,0,IF(L5=0,M5,WORKDAY(M5,L5-1,Settings!$J$4:$J$23)))</f>
        <v/>
      </c>
      <c r="O5" s="24">
        <f>IF($D5="",0,IF(Settings!$D$14=0,0,MAX(1,ROUND(Settings!$D$14*Settings!$C$5*($D5/Settings!$C$6)^Settings!$E$14*IF(Settings!$C$14="Lara",$E5/$F5,1),0))))</f>
        <v/>
      </c>
      <c r="P5" s="25">
        <f>IF(N5=0,0,IF(O5=0,N5,WORKDAY(N5,1+Settings!$C$7,Settings!$J$4:$J$23)))</f>
        <v/>
      </c>
      <c r="Q5" s="25">
        <f>IF(P5=0,0,IF(O5=0,P5,WORKDAY(P5,O5-1,Settings!$J$4:$J$23)))</f>
        <v/>
      </c>
      <c r="R5" s="24">
        <f>IF($D5="",0,IF(Settings!$D$15=0,0,MAX(1,ROUND(Settings!$D$15*Settings!$C$5*($D5/Settings!$C$6)^Settings!$E$15*IF(Settings!$C$15="Lara",$E5/$F5,1),0))))</f>
        <v/>
      </c>
      <c r="S5" s="25">
        <f>IF(Q5=0,0,IF(R5=0,Q5,WORKDAY(Q5,1+Settings!$C$7,Settings!$J$4:$J$23)))</f>
        <v/>
      </c>
      <c r="T5" s="25">
        <f>IF(S5=0,0,IF(R5=0,S5,WORKDAY(S5,R5-1,Settings!$J$4:$J$23)))</f>
        <v/>
      </c>
      <c r="U5" s="24">
        <f>IF($D5="",0,IF(Settings!$D$16=0,0,MAX(1,ROUND(Settings!$D$16*Settings!$C$5*($D5/Settings!$C$6)^Settings!$E$16*IF(Settings!$C$16="Lara",$E5/$F5,1),0))))</f>
        <v/>
      </c>
      <c r="V5" s="25">
        <f>IF(T5=0,0,IF(U5=0,T5,WORKDAY(T5,1+Settings!$C$7,Settings!$J$4:$J$23)))</f>
        <v/>
      </c>
      <c r="W5" s="25">
        <f>IF(V5=0,0,IF(U5=0,V5,WORKDAY(V5,U5-1,Settings!$J$4:$J$23)))</f>
        <v/>
      </c>
      <c r="X5" s="24">
        <f>IF($D5="",0,IF(Settings!$D$17=0,0,MAX(1,ROUND(Settings!$D$17*Settings!$C$5*($D5/Settings!$C$6)^Settings!$E$17*IF(Settings!$C$17="Lara",$E5/$F5,1),0))))</f>
        <v/>
      </c>
      <c r="Y5" s="25">
        <f>IF(W5=0,0,IF(X5=0,W5,WORKDAY(W5,1+Settings!$C$7,Settings!$J$4:$J$23)))</f>
        <v/>
      </c>
      <c r="Z5" s="25">
        <f>IF(Y5=0,0,IF(X5=0,Y5,WORKDAY(Y5,X5-1,Settings!$J$4:$J$23)))</f>
        <v/>
      </c>
      <c r="AA5" s="24">
        <f>IF($D5="",0,IF(Settings!$D$18=0,0,MAX(1,ROUND(Settings!$D$18*Settings!$C$5*($D5/Settings!$C$6)^Settings!$E$18*IF(Settings!$C$18="Lara",$E5/$F5,1),0))))</f>
        <v/>
      </c>
      <c r="AB5" s="25">
        <f>IF(Z5=0,0,IF(AA5=0,Z5,WORKDAY(Z5,1+Settings!$C$7,Settings!$J$4:$J$23)))</f>
        <v/>
      </c>
      <c r="AC5" s="25">
        <f>IF(AB5=0,0,IF(AA5=0,AB5,WORKDAY(AB5,AA5-1,Settings!$J$4:$J$23)))</f>
        <v/>
      </c>
      <c r="AD5" s="24">
        <f>IF($D5="",0,IF(Settings!$D$19=0,0,MAX(1,ROUND(Settings!$D$19*Settings!$C$5*($D5/Settings!$C$6)^Settings!$E$19*IF(Settings!$C$19="Lara",$E5/$F5,1),0))))</f>
        <v/>
      </c>
      <c r="AE5" s="25">
        <f>IF(AC5=0,0,IF(AD5=0,AC5,WORKDAY(AC5,1+Settings!$C$7,Settings!$J$4:$J$23)))</f>
        <v/>
      </c>
      <c r="AF5" s="25">
        <f>IF(AE5=0,0,IF(AD5=0,AE5,WORKDAY(AE5,AD5-1,Settings!$J$4:$J$23)))</f>
        <v/>
      </c>
      <c r="AG5" s="25">
        <f>AF5</f>
        <v/>
      </c>
      <c r="AH5" s="24">
        <f>IF($D5="",0,(I5*(Settings!$C$12="Lara")+L5*(Settings!$C$13="Lara")+O5*(Settings!$C$14="Lara")+R5*(Settings!$C$15="Lara")+U5*(Settings!$C$16="Lara")+X5*(Settings!$C$17="Lara")+AA5*(Settings!$C$18="Lara")+AD5*(Settings!$C$19="Lara"))*$F5*Settings!$C$4)</f>
        <v/>
      </c>
      <c r="AI5" s="20" t="inlineStr">
        <is>
          <t>Reference size, Lara full time</t>
        </is>
      </c>
      <c r="AK5" s="26" t="n"/>
      <c r="AL5" s="26" t="n"/>
      <c r="AM5" s="26" t="n"/>
      <c r="AN5" s="26" t="n"/>
      <c r="AO5" s="26" t="n"/>
      <c r="AP5" s="26" t="n"/>
      <c r="AQ5" s="26" t="n"/>
      <c r="AR5" s="26" t="n"/>
      <c r="AS5" s="26" t="n"/>
      <c r="AT5" s="26" t="n"/>
      <c r="AU5" s="26" t="n"/>
      <c r="AV5" s="26" t="n"/>
      <c r="AW5" s="26" t="n"/>
      <c r="AX5" s="26" t="n"/>
      <c r="AY5" s="26" t="n"/>
      <c r="AZ5" s="26" t="n"/>
      <c r="BA5" s="26" t="n"/>
      <c r="BB5" s="26" t="n"/>
      <c r="BC5" s="26" t="n"/>
      <c r="BD5" s="26" t="n"/>
      <c r="BE5" s="26" t="n"/>
      <c r="BF5" s="26" t="n"/>
      <c r="BG5" s="26" t="n"/>
      <c r="BH5" s="26" t="n"/>
      <c r="BI5" s="26" t="n"/>
      <c r="BJ5" s="26" t="n"/>
      <c r="BK5" s="26" t="n"/>
      <c r="BL5" s="26" t="n"/>
      <c r="BM5" s="26" t="n"/>
      <c r="BN5" s="26" t="n"/>
      <c r="BO5" s="26" t="n"/>
      <c r="BP5" s="26" t="n"/>
      <c r="BQ5" s="26" t="n"/>
      <c r="BR5" s="26" t="n"/>
      <c r="BS5" s="26" t="n"/>
      <c r="BT5" s="26" t="n"/>
      <c r="BU5" s="26" t="n"/>
      <c r="BV5" s="26" t="n"/>
      <c r="BW5" s="26" t="n"/>
      <c r="BX5" s="26" t="n"/>
      <c r="BY5" s="26" t="n"/>
      <c r="BZ5" s="26" t="n"/>
      <c r="CA5" s="26" t="n"/>
      <c r="CB5" s="26" t="n"/>
      <c r="CC5" s="26" t="n"/>
      <c r="CD5" s="26" t="n"/>
      <c r="CE5" s="26" t="n"/>
      <c r="CF5" s="26" t="n"/>
      <c r="CG5" s="26" t="n"/>
      <c r="CH5" s="26" t="n"/>
      <c r="CI5" s="26" t="n"/>
      <c r="CJ5" s="26" t="n"/>
      <c r="CK5" s="26" t="n"/>
      <c r="CL5" s="26" t="n"/>
      <c r="CM5" s="26" t="n"/>
      <c r="CN5" s="26" t="n"/>
      <c r="CO5" s="26" t="n"/>
      <c r="CP5" s="26" t="n"/>
      <c r="CQ5" s="26" t="n"/>
      <c r="CR5" s="26" t="n"/>
    </row>
    <row r="6">
      <c r="A6" s="19" t="n">
        <v>2</v>
      </c>
      <c r="B6" s="20" t="inlineStr">
        <is>
          <t>Example 02</t>
        </is>
      </c>
      <c r="C6" s="20" t="inlineStr">
        <is>
          <t>Client B</t>
        </is>
      </c>
      <c r="D6" s="5" t="n">
        <v>72</v>
      </c>
      <c r="E6" s="21" t="n">
        <v>1</v>
      </c>
      <c r="F6" s="22" t="n">
        <v>0.5</v>
      </c>
      <c r="G6" s="23" t="n">
        <v>46314</v>
      </c>
      <c r="H6" s="5" t="inlineStr">
        <is>
          <t>Planned</t>
        </is>
      </c>
      <c r="I6" s="24">
        <f>IF($D6="",0,IF(Settings!$D$12=0,0,MAX(1,ROUND(Settings!$D$12*Settings!$C$5*($D6/Settings!$C$6)^Settings!$E$12*IF(Settings!$C$12="Lara",$E6/$F6,1),0))))</f>
        <v/>
      </c>
      <c r="J6" s="25">
        <f>IF($G6="",0,WORKDAY($G6-1,1,Settings!$J$4:$J$23))</f>
        <v/>
      </c>
      <c r="K6" s="25">
        <f>IF(J6=0,0,IF(I6=0,J6,WORKDAY(J6,I6-1,Settings!$J$4:$J$23)))</f>
        <v/>
      </c>
      <c r="L6" s="24">
        <f>IF($D6="",0,IF(Settings!$D$13=0,0,MAX(1,ROUND(Settings!$D$13*Settings!$C$5*($D6/Settings!$C$6)^Settings!$E$13*IF(Settings!$C$13="Lara",$E6/$F6,1),0))))</f>
        <v/>
      </c>
      <c r="M6" s="25">
        <f>IF(K6=0,0,IF(L6=0,K6,WORKDAY(K6,1+Settings!$C$7,Settings!$J$4:$J$23)))</f>
        <v/>
      </c>
      <c r="N6" s="25">
        <f>IF(M6=0,0,IF(L6=0,M6,WORKDAY(M6,L6-1,Settings!$J$4:$J$23)))</f>
        <v/>
      </c>
      <c r="O6" s="24">
        <f>IF($D6="",0,IF(Settings!$D$14=0,0,MAX(1,ROUND(Settings!$D$14*Settings!$C$5*($D6/Settings!$C$6)^Settings!$E$14*IF(Settings!$C$14="Lara",$E6/$F6,1),0))))</f>
        <v/>
      </c>
      <c r="P6" s="25">
        <f>IF(N6=0,0,IF(O6=0,N6,WORKDAY(N6,1+Settings!$C$7,Settings!$J$4:$J$23)))</f>
        <v/>
      </c>
      <c r="Q6" s="25">
        <f>IF(P6=0,0,IF(O6=0,P6,WORKDAY(P6,O6-1,Settings!$J$4:$J$23)))</f>
        <v/>
      </c>
      <c r="R6" s="24">
        <f>IF($D6="",0,IF(Settings!$D$15=0,0,MAX(1,ROUND(Settings!$D$15*Settings!$C$5*($D6/Settings!$C$6)^Settings!$E$15*IF(Settings!$C$15="Lara",$E6/$F6,1),0))))</f>
        <v/>
      </c>
      <c r="S6" s="25">
        <f>IF(Q6=0,0,IF(R6=0,Q6,WORKDAY(Q6,1+Settings!$C$7,Settings!$J$4:$J$23)))</f>
        <v/>
      </c>
      <c r="T6" s="25">
        <f>IF(S6=0,0,IF(R6=0,S6,WORKDAY(S6,R6-1,Settings!$J$4:$J$23)))</f>
        <v/>
      </c>
      <c r="U6" s="24">
        <f>IF($D6="",0,IF(Settings!$D$16=0,0,MAX(1,ROUND(Settings!$D$16*Settings!$C$5*($D6/Settings!$C$6)^Settings!$E$16*IF(Settings!$C$16="Lara",$E6/$F6,1),0))))</f>
        <v/>
      </c>
      <c r="V6" s="25">
        <f>IF(T6=0,0,IF(U6=0,T6,WORKDAY(T6,1+Settings!$C$7,Settings!$J$4:$J$23)))</f>
        <v/>
      </c>
      <c r="W6" s="25">
        <f>IF(V6=0,0,IF(U6=0,V6,WORKDAY(V6,U6-1,Settings!$J$4:$J$23)))</f>
        <v/>
      </c>
      <c r="X6" s="24">
        <f>IF($D6="",0,IF(Settings!$D$17=0,0,MAX(1,ROUND(Settings!$D$17*Settings!$C$5*($D6/Settings!$C$6)^Settings!$E$17*IF(Settings!$C$17="Lara",$E6/$F6,1),0))))</f>
        <v/>
      </c>
      <c r="Y6" s="25">
        <f>IF(W6=0,0,IF(X6=0,W6,WORKDAY(W6,1+Settings!$C$7,Settings!$J$4:$J$23)))</f>
        <v/>
      </c>
      <c r="Z6" s="25">
        <f>IF(Y6=0,0,IF(X6=0,Y6,WORKDAY(Y6,X6-1,Settings!$J$4:$J$23)))</f>
        <v/>
      </c>
      <c r="AA6" s="24">
        <f>IF($D6="",0,IF(Settings!$D$18=0,0,MAX(1,ROUND(Settings!$D$18*Settings!$C$5*($D6/Settings!$C$6)^Settings!$E$18*IF(Settings!$C$18="Lara",$E6/$F6,1),0))))</f>
        <v/>
      </c>
      <c r="AB6" s="25">
        <f>IF(Z6=0,0,IF(AA6=0,Z6,WORKDAY(Z6,1+Settings!$C$7,Settings!$J$4:$J$23)))</f>
        <v/>
      </c>
      <c r="AC6" s="25">
        <f>IF(AB6=0,0,IF(AA6=0,AB6,WORKDAY(AB6,AA6-1,Settings!$J$4:$J$23)))</f>
        <v/>
      </c>
      <c r="AD6" s="24">
        <f>IF($D6="",0,IF(Settings!$D$19=0,0,MAX(1,ROUND(Settings!$D$19*Settings!$C$5*($D6/Settings!$C$6)^Settings!$E$19*IF(Settings!$C$19="Lara",$E6/$F6,1),0))))</f>
        <v/>
      </c>
      <c r="AE6" s="25">
        <f>IF(AC6=0,0,IF(AD6=0,AC6,WORKDAY(AC6,1+Settings!$C$7,Settings!$J$4:$J$23)))</f>
        <v/>
      </c>
      <c r="AF6" s="25">
        <f>IF(AE6=0,0,IF(AD6=0,AE6,WORKDAY(AE6,AD6-1,Settings!$J$4:$J$23)))</f>
        <v/>
      </c>
      <c r="AG6" s="25">
        <f>AF6</f>
        <v/>
      </c>
      <c r="AH6" s="24">
        <f>IF($D6="",0,(I6*(Settings!$C$12="Lara")+L6*(Settings!$C$13="Lara")+O6*(Settings!$C$14="Lara")+R6*(Settings!$C$15="Lara")+U6*(Settings!$C$16="Lara")+X6*(Settings!$C$17="Lara")+AA6*(Settings!$C$18="Lara")+AD6*(Settings!$C$19="Lara"))*$F6*Settings!$C$4)</f>
        <v/>
      </c>
      <c r="AI6" s="20" t="inlineStr">
        <is>
          <t>Parallel with 01 and 03, half her time</t>
        </is>
      </c>
      <c r="AK6" s="26" t="n"/>
      <c r="AL6" s="26" t="n"/>
      <c r="AM6" s="26" t="n"/>
      <c r="AN6" s="26" t="n"/>
      <c r="AO6" s="26" t="n"/>
      <c r="AP6" s="26" t="n"/>
      <c r="AQ6" s="26" t="n"/>
      <c r="AR6" s="26" t="n"/>
      <c r="AS6" s="26" t="n"/>
      <c r="AT6" s="26" t="n"/>
      <c r="AU6" s="26" t="n"/>
      <c r="AV6" s="26" t="n"/>
      <c r="AW6" s="26" t="n"/>
      <c r="AX6" s="26" t="n"/>
      <c r="AY6" s="26" t="n"/>
      <c r="AZ6" s="26" t="n"/>
      <c r="BA6" s="26" t="n"/>
      <c r="BB6" s="26" t="n"/>
      <c r="BC6" s="26" t="n"/>
      <c r="BD6" s="26" t="n"/>
      <c r="BE6" s="26" t="n"/>
      <c r="BF6" s="26" t="n"/>
      <c r="BG6" s="26" t="n"/>
      <c r="BH6" s="26" t="n"/>
      <c r="BI6" s="26" t="n"/>
      <c r="BJ6" s="26" t="n"/>
      <c r="BK6" s="26" t="n"/>
      <c r="BL6" s="26" t="n"/>
      <c r="BM6" s="26" t="n"/>
      <c r="BN6" s="26" t="n"/>
      <c r="BO6" s="26" t="n"/>
      <c r="BP6" s="26" t="n"/>
      <c r="BQ6" s="26" t="n"/>
      <c r="BR6" s="26" t="n"/>
      <c r="BS6" s="26" t="n"/>
      <c r="BT6" s="26" t="n"/>
      <c r="BU6" s="26" t="n"/>
      <c r="BV6" s="26" t="n"/>
      <c r="BW6" s="26" t="n"/>
      <c r="BX6" s="26" t="n"/>
      <c r="BY6" s="26" t="n"/>
      <c r="BZ6" s="26" t="n"/>
      <c r="CA6" s="26" t="n"/>
      <c r="CB6" s="26" t="n"/>
      <c r="CC6" s="26" t="n"/>
      <c r="CD6" s="26" t="n"/>
      <c r="CE6" s="26" t="n"/>
      <c r="CF6" s="26" t="n"/>
      <c r="CG6" s="26" t="n"/>
      <c r="CH6" s="26" t="n"/>
      <c r="CI6" s="26" t="n"/>
      <c r="CJ6" s="26" t="n"/>
      <c r="CK6" s="26" t="n"/>
      <c r="CL6" s="26" t="n"/>
      <c r="CM6" s="26" t="n"/>
      <c r="CN6" s="26" t="n"/>
      <c r="CO6" s="26" t="n"/>
      <c r="CP6" s="26" t="n"/>
      <c r="CQ6" s="26" t="n"/>
      <c r="CR6" s="26" t="n"/>
    </row>
    <row r="7">
      <c r="A7" s="19" t="n">
        <v>3</v>
      </c>
      <c r="B7" s="20" t="inlineStr">
        <is>
          <t>Example 03</t>
        </is>
      </c>
      <c r="C7" s="20" t="inlineStr">
        <is>
          <t>Client C</t>
        </is>
      </c>
      <c r="D7" s="5" t="n">
        <v>38</v>
      </c>
      <c r="E7" s="21" t="n">
        <v>0.9</v>
      </c>
      <c r="F7" s="22" t="n">
        <v>0.5</v>
      </c>
      <c r="G7" s="23" t="n">
        <v>46321</v>
      </c>
      <c r="H7" s="5" t="inlineStr">
        <is>
          <t>Planned</t>
        </is>
      </c>
      <c r="I7" s="24">
        <f>IF($D7="",0,IF(Settings!$D$12=0,0,MAX(1,ROUND(Settings!$D$12*Settings!$C$5*($D7/Settings!$C$6)^Settings!$E$12*IF(Settings!$C$12="Lara",$E7/$F7,1),0))))</f>
        <v/>
      </c>
      <c r="J7" s="25">
        <f>IF($G7="",0,WORKDAY($G7-1,1,Settings!$J$4:$J$23))</f>
        <v/>
      </c>
      <c r="K7" s="25">
        <f>IF(J7=0,0,IF(I7=0,J7,WORKDAY(J7,I7-1,Settings!$J$4:$J$23)))</f>
        <v/>
      </c>
      <c r="L7" s="24">
        <f>IF($D7="",0,IF(Settings!$D$13=0,0,MAX(1,ROUND(Settings!$D$13*Settings!$C$5*($D7/Settings!$C$6)^Settings!$E$13*IF(Settings!$C$13="Lara",$E7/$F7,1),0))))</f>
        <v/>
      </c>
      <c r="M7" s="25">
        <f>IF(K7=0,0,IF(L7=0,K7,WORKDAY(K7,1+Settings!$C$7,Settings!$J$4:$J$23)))</f>
        <v/>
      </c>
      <c r="N7" s="25">
        <f>IF(M7=0,0,IF(L7=0,M7,WORKDAY(M7,L7-1,Settings!$J$4:$J$23)))</f>
        <v/>
      </c>
      <c r="O7" s="24">
        <f>IF($D7="",0,IF(Settings!$D$14=0,0,MAX(1,ROUND(Settings!$D$14*Settings!$C$5*($D7/Settings!$C$6)^Settings!$E$14*IF(Settings!$C$14="Lara",$E7/$F7,1),0))))</f>
        <v/>
      </c>
      <c r="P7" s="25">
        <f>IF(N7=0,0,IF(O7=0,N7,WORKDAY(N7,1+Settings!$C$7,Settings!$J$4:$J$23)))</f>
        <v/>
      </c>
      <c r="Q7" s="25">
        <f>IF(P7=0,0,IF(O7=0,P7,WORKDAY(P7,O7-1,Settings!$J$4:$J$23)))</f>
        <v/>
      </c>
      <c r="R7" s="24">
        <f>IF($D7="",0,IF(Settings!$D$15=0,0,MAX(1,ROUND(Settings!$D$15*Settings!$C$5*($D7/Settings!$C$6)^Settings!$E$15*IF(Settings!$C$15="Lara",$E7/$F7,1),0))))</f>
        <v/>
      </c>
      <c r="S7" s="25">
        <f>IF(Q7=0,0,IF(R7=0,Q7,WORKDAY(Q7,1+Settings!$C$7,Settings!$J$4:$J$23)))</f>
        <v/>
      </c>
      <c r="T7" s="25">
        <f>IF(S7=0,0,IF(R7=0,S7,WORKDAY(S7,R7-1,Settings!$J$4:$J$23)))</f>
        <v/>
      </c>
      <c r="U7" s="24">
        <f>IF($D7="",0,IF(Settings!$D$16=0,0,MAX(1,ROUND(Settings!$D$16*Settings!$C$5*($D7/Settings!$C$6)^Settings!$E$16*IF(Settings!$C$16="Lara",$E7/$F7,1),0))))</f>
        <v/>
      </c>
      <c r="V7" s="25">
        <f>IF(T7=0,0,IF(U7=0,T7,WORKDAY(T7,1+Settings!$C$7,Settings!$J$4:$J$23)))</f>
        <v/>
      </c>
      <c r="W7" s="25">
        <f>IF(V7=0,0,IF(U7=0,V7,WORKDAY(V7,U7-1,Settings!$J$4:$J$23)))</f>
        <v/>
      </c>
      <c r="X7" s="24">
        <f>IF($D7="",0,IF(Settings!$D$17=0,0,MAX(1,ROUND(Settings!$D$17*Settings!$C$5*($D7/Settings!$C$6)^Settings!$E$17*IF(Settings!$C$17="Lara",$E7/$F7,1),0))))</f>
        <v/>
      </c>
      <c r="Y7" s="25">
        <f>IF(W7=0,0,IF(X7=0,W7,WORKDAY(W7,1+Settings!$C$7,Settings!$J$4:$J$23)))</f>
        <v/>
      </c>
      <c r="Z7" s="25">
        <f>IF(Y7=0,0,IF(X7=0,Y7,WORKDAY(Y7,X7-1,Settings!$J$4:$J$23)))</f>
        <v/>
      </c>
      <c r="AA7" s="24">
        <f>IF($D7="",0,IF(Settings!$D$18=0,0,MAX(1,ROUND(Settings!$D$18*Settings!$C$5*($D7/Settings!$C$6)^Settings!$E$18*IF(Settings!$C$18="Lara",$E7/$F7,1),0))))</f>
        <v/>
      </c>
      <c r="AB7" s="25">
        <f>IF(Z7=0,0,IF(AA7=0,Z7,WORKDAY(Z7,1+Settings!$C$7,Settings!$J$4:$J$23)))</f>
        <v/>
      </c>
      <c r="AC7" s="25">
        <f>IF(AB7=0,0,IF(AA7=0,AB7,WORKDAY(AB7,AA7-1,Settings!$J$4:$J$23)))</f>
        <v/>
      </c>
      <c r="AD7" s="24">
        <f>IF($D7="",0,IF(Settings!$D$19=0,0,MAX(1,ROUND(Settings!$D$19*Settings!$C$5*($D7/Settings!$C$6)^Settings!$E$19*IF(Settings!$C$19="Lara",$E7/$F7,1),0))))</f>
        <v/>
      </c>
      <c r="AE7" s="25">
        <f>IF(AC7=0,0,IF(AD7=0,AC7,WORKDAY(AC7,1+Settings!$C$7,Settings!$J$4:$J$23)))</f>
        <v/>
      </c>
      <c r="AF7" s="25">
        <f>IF(AE7=0,0,IF(AD7=0,AE7,WORKDAY(AE7,AD7-1,Settings!$J$4:$J$23)))</f>
        <v/>
      </c>
      <c r="AG7" s="25">
        <f>AF7</f>
        <v/>
      </c>
      <c r="AH7" s="24">
        <f>IF($D7="",0,(I7*(Settings!$C$12="Lara")+L7*(Settings!$C$13="Lara")+O7*(Settings!$C$14="Lara")+R7*(Settings!$C$15="Lara")+U7*(Settings!$C$16="Lara")+X7*(Settings!$C$17="Lara")+AA7*(Settings!$C$18="Lara")+AD7*(Settings!$C$19="Lara"))*$F7*Settings!$C$4)</f>
        <v/>
      </c>
      <c r="AI7" s="20" t="inlineStr">
        <is>
          <t>Small, simple layout</t>
        </is>
      </c>
      <c r="AK7" s="26" t="n"/>
      <c r="AL7" s="26" t="n"/>
      <c r="AM7" s="26" t="n"/>
      <c r="AN7" s="26" t="n"/>
      <c r="AO7" s="26" t="n"/>
      <c r="AP7" s="26" t="n"/>
      <c r="AQ7" s="26" t="n"/>
      <c r="AR7" s="26" t="n"/>
      <c r="AS7" s="26" t="n"/>
      <c r="AT7" s="26" t="n"/>
      <c r="AU7" s="26" t="n"/>
      <c r="AV7" s="26" t="n"/>
      <c r="AW7" s="26" t="n"/>
      <c r="AX7" s="26" t="n"/>
      <c r="AY7" s="26" t="n"/>
      <c r="AZ7" s="26" t="n"/>
      <c r="BA7" s="26" t="n"/>
      <c r="BB7" s="26" t="n"/>
      <c r="BC7" s="26" t="n"/>
      <c r="BD7" s="26" t="n"/>
      <c r="BE7" s="26" t="n"/>
      <c r="BF7" s="26" t="n"/>
      <c r="BG7" s="26" t="n"/>
      <c r="BH7" s="26" t="n"/>
      <c r="BI7" s="26" t="n"/>
      <c r="BJ7" s="26" t="n"/>
      <c r="BK7" s="26" t="n"/>
      <c r="BL7" s="26" t="n"/>
      <c r="BM7" s="26" t="n"/>
      <c r="BN7" s="26" t="n"/>
      <c r="BO7" s="26" t="n"/>
      <c r="BP7" s="26" t="n"/>
      <c r="BQ7" s="26" t="n"/>
      <c r="BR7" s="26" t="n"/>
      <c r="BS7" s="26" t="n"/>
      <c r="BT7" s="26" t="n"/>
      <c r="BU7" s="26" t="n"/>
      <c r="BV7" s="26" t="n"/>
      <c r="BW7" s="26" t="n"/>
      <c r="BX7" s="26" t="n"/>
      <c r="BY7" s="26" t="n"/>
      <c r="BZ7" s="26" t="n"/>
      <c r="CA7" s="26" t="n"/>
      <c r="CB7" s="26" t="n"/>
      <c r="CC7" s="26" t="n"/>
      <c r="CD7" s="26" t="n"/>
      <c r="CE7" s="26" t="n"/>
      <c r="CF7" s="26" t="n"/>
      <c r="CG7" s="26" t="n"/>
      <c r="CH7" s="26" t="n"/>
      <c r="CI7" s="26" t="n"/>
      <c r="CJ7" s="26" t="n"/>
      <c r="CK7" s="26" t="n"/>
      <c r="CL7" s="26" t="n"/>
      <c r="CM7" s="26" t="n"/>
      <c r="CN7" s="26" t="n"/>
      <c r="CO7" s="26" t="n"/>
      <c r="CP7" s="26" t="n"/>
      <c r="CQ7" s="26" t="n"/>
      <c r="CR7" s="26" t="n"/>
    </row>
    <row r="8">
      <c r="A8" s="19" t="n">
        <v>4</v>
      </c>
      <c r="B8" s="20" t="inlineStr">
        <is>
          <t>Example 04</t>
        </is>
      </c>
      <c r="C8" s="20" t="inlineStr">
        <is>
          <t>Client D</t>
        </is>
      </c>
      <c r="D8" s="5" t="n">
        <v>95</v>
      </c>
      <c r="E8" s="21" t="n">
        <v>1.2</v>
      </c>
      <c r="F8" s="22" t="n">
        <v>1</v>
      </c>
      <c r="G8" s="23" t="n">
        <v>46342</v>
      </c>
      <c r="H8" s="5" t="inlineStr">
        <is>
          <t>Planned</t>
        </is>
      </c>
      <c r="I8" s="24">
        <f>IF($D8="",0,IF(Settings!$D$12=0,0,MAX(1,ROUND(Settings!$D$12*Settings!$C$5*($D8/Settings!$C$6)^Settings!$E$12*IF(Settings!$C$12="Lara",$E8/$F8,1),0))))</f>
        <v/>
      </c>
      <c r="J8" s="25">
        <f>IF($G8="",0,WORKDAY($G8-1,1,Settings!$J$4:$J$23))</f>
        <v/>
      </c>
      <c r="K8" s="25">
        <f>IF(J8=0,0,IF(I8=0,J8,WORKDAY(J8,I8-1,Settings!$J$4:$J$23)))</f>
        <v/>
      </c>
      <c r="L8" s="24">
        <f>IF($D8="",0,IF(Settings!$D$13=0,0,MAX(1,ROUND(Settings!$D$13*Settings!$C$5*($D8/Settings!$C$6)^Settings!$E$13*IF(Settings!$C$13="Lara",$E8/$F8,1),0))))</f>
        <v/>
      </c>
      <c r="M8" s="25">
        <f>IF(K8=0,0,IF(L8=0,K8,WORKDAY(K8,1+Settings!$C$7,Settings!$J$4:$J$23)))</f>
        <v/>
      </c>
      <c r="N8" s="25">
        <f>IF(M8=0,0,IF(L8=0,M8,WORKDAY(M8,L8-1,Settings!$J$4:$J$23)))</f>
        <v/>
      </c>
      <c r="O8" s="24">
        <f>IF($D8="",0,IF(Settings!$D$14=0,0,MAX(1,ROUND(Settings!$D$14*Settings!$C$5*($D8/Settings!$C$6)^Settings!$E$14*IF(Settings!$C$14="Lara",$E8/$F8,1),0))))</f>
        <v/>
      </c>
      <c r="P8" s="25">
        <f>IF(N8=0,0,IF(O8=0,N8,WORKDAY(N8,1+Settings!$C$7,Settings!$J$4:$J$23)))</f>
        <v/>
      </c>
      <c r="Q8" s="25">
        <f>IF(P8=0,0,IF(O8=0,P8,WORKDAY(P8,O8-1,Settings!$J$4:$J$23)))</f>
        <v/>
      </c>
      <c r="R8" s="24">
        <f>IF($D8="",0,IF(Settings!$D$15=0,0,MAX(1,ROUND(Settings!$D$15*Settings!$C$5*($D8/Settings!$C$6)^Settings!$E$15*IF(Settings!$C$15="Lara",$E8/$F8,1),0))))</f>
        <v/>
      </c>
      <c r="S8" s="25">
        <f>IF(Q8=0,0,IF(R8=0,Q8,WORKDAY(Q8,1+Settings!$C$7,Settings!$J$4:$J$23)))</f>
        <v/>
      </c>
      <c r="T8" s="25">
        <f>IF(S8=0,0,IF(R8=0,S8,WORKDAY(S8,R8-1,Settings!$J$4:$J$23)))</f>
        <v/>
      </c>
      <c r="U8" s="24">
        <f>IF($D8="",0,IF(Settings!$D$16=0,0,MAX(1,ROUND(Settings!$D$16*Settings!$C$5*($D8/Settings!$C$6)^Settings!$E$16*IF(Settings!$C$16="Lara",$E8/$F8,1),0))))</f>
        <v/>
      </c>
      <c r="V8" s="25">
        <f>IF(T8=0,0,IF(U8=0,T8,WORKDAY(T8,1+Settings!$C$7,Settings!$J$4:$J$23)))</f>
        <v/>
      </c>
      <c r="W8" s="25">
        <f>IF(V8=0,0,IF(U8=0,V8,WORKDAY(V8,U8-1,Settings!$J$4:$J$23)))</f>
        <v/>
      </c>
      <c r="X8" s="24">
        <f>IF($D8="",0,IF(Settings!$D$17=0,0,MAX(1,ROUND(Settings!$D$17*Settings!$C$5*($D8/Settings!$C$6)^Settings!$E$17*IF(Settings!$C$17="Lara",$E8/$F8,1),0))))</f>
        <v/>
      </c>
      <c r="Y8" s="25">
        <f>IF(W8=0,0,IF(X8=0,W8,WORKDAY(W8,1+Settings!$C$7,Settings!$J$4:$J$23)))</f>
        <v/>
      </c>
      <c r="Z8" s="25">
        <f>IF(Y8=0,0,IF(X8=0,Y8,WORKDAY(Y8,X8-1,Settings!$J$4:$J$23)))</f>
        <v/>
      </c>
      <c r="AA8" s="24">
        <f>IF($D8="",0,IF(Settings!$D$18=0,0,MAX(1,ROUND(Settings!$D$18*Settings!$C$5*($D8/Settings!$C$6)^Settings!$E$18*IF(Settings!$C$18="Lara",$E8/$F8,1),0))))</f>
        <v/>
      </c>
      <c r="AB8" s="25">
        <f>IF(Z8=0,0,IF(AA8=0,Z8,WORKDAY(Z8,1+Settings!$C$7,Settings!$J$4:$J$23)))</f>
        <v/>
      </c>
      <c r="AC8" s="25">
        <f>IF(AB8=0,0,IF(AA8=0,AB8,WORKDAY(AB8,AA8-1,Settings!$J$4:$J$23)))</f>
        <v/>
      </c>
      <c r="AD8" s="24">
        <f>IF($D8="",0,IF(Settings!$D$19=0,0,MAX(1,ROUND(Settings!$D$19*Settings!$C$5*($D8/Settings!$C$6)^Settings!$E$19*IF(Settings!$C$19="Lara",$E8/$F8,1),0))))</f>
        <v/>
      </c>
      <c r="AE8" s="25">
        <f>IF(AC8=0,0,IF(AD8=0,AC8,WORKDAY(AC8,1+Settings!$C$7,Settings!$J$4:$J$23)))</f>
        <v/>
      </c>
      <c r="AF8" s="25">
        <f>IF(AE8=0,0,IF(AD8=0,AE8,WORKDAY(AE8,AD8-1,Settings!$J$4:$J$23)))</f>
        <v/>
      </c>
      <c r="AG8" s="25">
        <f>AF8</f>
        <v/>
      </c>
      <c r="AH8" s="24">
        <f>IF($D8="",0,(I8*(Settings!$C$12="Lara")+L8*(Settings!$C$13="Lara")+O8*(Settings!$C$14="Lara")+R8*(Settings!$C$15="Lara")+U8*(Settings!$C$16="Lara")+X8*(Settings!$C$17="Lara")+AA8*(Settings!$C$18="Lara")+AD8*(Settings!$C$19="Lara"))*$F8*Settings!$C$4)</f>
        <v/>
      </c>
      <c r="AI8" s="20" t="inlineStr">
        <is>
          <t>Lots of custom joinery</t>
        </is>
      </c>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6" t="n"/>
      <c r="BI8" s="26" t="n"/>
      <c r="BJ8" s="26" t="n"/>
      <c r="BK8" s="26" t="n"/>
      <c r="BL8" s="26" t="n"/>
      <c r="BM8" s="26" t="n"/>
      <c r="BN8" s="26" t="n"/>
      <c r="BO8" s="26" t="n"/>
      <c r="BP8" s="26" t="n"/>
      <c r="BQ8" s="26" t="n"/>
      <c r="BR8" s="26" t="n"/>
      <c r="BS8" s="26" t="n"/>
      <c r="BT8" s="26" t="n"/>
      <c r="BU8" s="26" t="n"/>
      <c r="BV8" s="26" t="n"/>
      <c r="BW8" s="26" t="n"/>
      <c r="BX8" s="26" t="n"/>
      <c r="BY8" s="26" t="n"/>
      <c r="BZ8" s="26" t="n"/>
      <c r="CA8" s="26" t="n"/>
      <c r="CB8" s="26" t="n"/>
      <c r="CC8" s="26" t="n"/>
      <c r="CD8" s="26" t="n"/>
      <c r="CE8" s="26" t="n"/>
      <c r="CF8" s="26" t="n"/>
      <c r="CG8" s="26" t="n"/>
      <c r="CH8" s="26" t="n"/>
      <c r="CI8" s="26" t="n"/>
      <c r="CJ8" s="26" t="n"/>
      <c r="CK8" s="26" t="n"/>
      <c r="CL8" s="26" t="n"/>
      <c r="CM8" s="26" t="n"/>
      <c r="CN8" s="26" t="n"/>
      <c r="CO8" s="26" t="n"/>
      <c r="CP8" s="26" t="n"/>
      <c r="CQ8" s="26" t="n"/>
      <c r="CR8" s="26" t="n"/>
    </row>
    <row r="9">
      <c r="A9" s="19" t="n">
        <v>5</v>
      </c>
      <c r="B9" s="20" t="inlineStr">
        <is>
          <t>Example 05</t>
        </is>
      </c>
      <c r="C9" s="20" t="inlineStr">
        <is>
          <t>Client E</t>
        </is>
      </c>
      <c r="D9" s="5" t="n">
        <v>60</v>
      </c>
      <c r="E9" s="21" t="n">
        <v>1</v>
      </c>
      <c r="F9" s="22" t="n">
        <v>0.6</v>
      </c>
      <c r="G9" s="23" t="n">
        <v>46363</v>
      </c>
      <c r="H9" s="5" t="inlineStr">
        <is>
          <t>Planned</t>
        </is>
      </c>
      <c r="I9" s="24">
        <f>IF($D9="",0,IF(Settings!$D$12=0,0,MAX(1,ROUND(Settings!$D$12*Settings!$C$5*($D9/Settings!$C$6)^Settings!$E$12*IF(Settings!$C$12="Lara",$E9/$F9,1),0))))</f>
        <v/>
      </c>
      <c r="J9" s="25">
        <f>IF($G9="",0,WORKDAY($G9-1,1,Settings!$J$4:$J$23))</f>
        <v/>
      </c>
      <c r="K9" s="25">
        <f>IF(J9=0,0,IF(I9=0,J9,WORKDAY(J9,I9-1,Settings!$J$4:$J$23)))</f>
        <v/>
      </c>
      <c r="L9" s="24">
        <f>IF($D9="",0,IF(Settings!$D$13=0,0,MAX(1,ROUND(Settings!$D$13*Settings!$C$5*($D9/Settings!$C$6)^Settings!$E$13*IF(Settings!$C$13="Lara",$E9/$F9,1),0))))</f>
        <v/>
      </c>
      <c r="M9" s="25">
        <f>IF(K9=0,0,IF(L9=0,K9,WORKDAY(K9,1+Settings!$C$7,Settings!$J$4:$J$23)))</f>
        <v/>
      </c>
      <c r="N9" s="25">
        <f>IF(M9=0,0,IF(L9=0,M9,WORKDAY(M9,L9-1,Settings!$J$4:$J$23)))</f>
        <v/>
      </c>
      <c r="O9" s="24">
        <f>IF($D9="",0,IF(Settings!$D$14=0,0,MAX(1,ROUND(Settings!$D$14*Settings!$C$5*($D9/Settings!$C$6)^Settings!$E$14*IF(Settings!$C$14="Lara",$E9/$F9,1),0))))</f>
        <v/>
      </c>
      <c r="P9" s="25">
        <f>IF(N9=0,0,IF(O9=0,N9,WORKDAY(N9,1+Settings!$C$7,Settings!$J$4:$J$23)))</f>
        <v/>
      </c>
      <c r="Q9" s="25">
        <f>IF(P9=0,0,IF(O9=0,P9,WORKDAY(P9,O9-1,Settings!$J$4:$J$23)))</f>
        <v/>
      </c>
      <c r="R9" s="24">
        <f>IF($D9="",0,IF(Settings!$D$15=0,0,MAX(1,ROUND(Settings!$D$15*Settings!$C$5*($D9/Settings!$C$6)^Settings!$E$15*IF(Settings!$C$15="Lara",$E9/$F9,1),0))))</f>
        <v/>
      </c>
      <c r="S9" s="25">
        <f>IF(Q9=0,0,IF(R9=0,Q9,WORKDAY(Q9,1+Settings!$C$7,Settings!$J$4:$J$23)))</f>
        <v/>
      </c>
      <c r="T9" s="25">
        <f>IF(S9=0,0,IF(R9=0,S9,WORKDAY(S9,R9-1,Settings!$J$4:$J$23)))</f>
        <v/>
      </c>
      <c r="U9" s="24">
        <f>IF($D9="",0,IF(Settings!$D$16=0,0,MAX(1,ROUND(Settings!$D$16*Settings!$C$5*($D9/Settings!$C$6)^Settings!$E$16*IF(Settings!$C$16="Lara",$E9/$F9,1),0))))</f>
        <v/>
      </c>
      <c r="V9" s="25">
        <f>IF(T9=0,0,IF(U9=0,T9,WORKDAY(T9,1+Settings!$C$7,Settings!$J$4:$J$23)))</f>
        <v/>
      </c>
      <c r="W9" s="25">
        <f>IF(V9=0,0,IF(U9=0,V9,WORKDAY(V9,U9-1,Settings!$J$4:$J$23)))</f>
        <v/>
      </c>
      <c r="X9" s="24">
        <f>IF($D9="",0,IF(Settings!$D$17=0,0,MAX(1,ROUND(Settings!$D$17*Settings!$C$5*($D9/Settings!$C$6)^Settings!$E$17*IF(Settings!$C$17="Lara",$E9/$F9,1),0))))</f>
        <v/>
      </c>
      <c r="Y9" s="25">
        <f>IF(W9=0,0,IF(X9=0,W9,WORKDAY(W9,1+Settings!$C$7,Settings!$J$4:$J$23)))</f>
        <v/>
      </c>
      <c r="Z9" s="25">
        <f>IF(Y9=0,0,IF(X9=0,Y9,WORKDAY(Y9,X9-1,Settings!$J$4:$J$23)))</f>
        <v/>
      </c>
      <c r="AA9" s="24">
        <f>IF($D9="",0,IF(Settings!$D$18=0,0,MAX(1,ROUND(Settings!$D$18*Settings!$C$5*($D9/Settings!$C$6)^Settings!$E$18*IF(Settings!$C$18="Lara",$E9/$F9,1),0))))</f>
        <v/>
      </c>
      <c r="AB9" s="25">
        <f>IF(Z9=0,0,IF(AA9=0,Z9,WORKDAY(Z9,1+Settings!$C$7,Settings!$J$4:$J$23)))</f>
        <v/>
      </c>
      <c r="AC9" s="25">
        <f>IF(AB9=0,0,IF(AA9=0,AB9,WORKDAY(AB9,AA9-1,Settings!$J$4:$J$23)))</f>
        <v/>
      </c>
      <c r="AD9" s="24">
        <f>IF($D9="",0,IF(Settings!$D$19=0,0,MAX(1,ROUND(Settings!$D$19*Settings!$C$5*($D9/Settings!$C$6)^Settings!$E$19*IF(Settings!$C$19="Lara",$E9/$F9,1),0))))</f>
        <v/>
      </c>
      <c r="AE9" s="25">
        <f>IF(AC9=0,0,IF(AD9=0,AC9,WORKDAY(AC9,1+Settings!$C$7,Settings!$J$4:$J$23)))</f>
        <v/>
      </c>
      <c r="AF9" s="25">
        <f>IF(AE9=0,0,IF(AD9=0,AE9,WORKDAY(AE9,AD9-1,Settings!$J$4:$J$23)))</f>
        <v/>
      </c>
      <c r="AG9" s="25">
        <f>AF9</f>
        <v/>
      </c>
      <c r="AH9" s="24">
        <f>IF($D9="",0,(I9*(Settings!$C$12="Lara")+L9*(Settings!$C$13="Lara")+O9*(Settings!$C$14="Lara")+R9*(Settings!$C$15="Lara")+U9*(Settings!$C$16="Lara")+X9*(Settings!$C$17="Lara")+AA9*(Settings!$C$18="Lara")+AD9*(Settings!$C$19="Lara"))*$F9*Settings!$C$4)</f>
        <v/>
      </c>
      <c r="AI9" s="20"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6" t="n"/>
      <c r="BI9" s="26" t="n"/>
      <c r="BJ9" s="26" t="n"/>
      <c r="BK9" s="26" t="n"/>
      <c r="BL9" s="26" t="n"/>
      <c r="BM9" s="26" t="n"/>
      <c r="BN9" s="26" t="n"/>
      <c r="BO9" s="26" t="n"/>
      <c r="BP9" s="26" t="n"/>
      <c r="BQ9" s="26" t="n"/>
      <c r="BR9" s="26" t="n"/>
      <c r="BS9" s="26" t="n"/>
      <c r="BT9" s="26" t="n"/>
      <c r="BU9" s="26" t="n"/>
      <c r="BV9" s="26" t="n"/>
      <c r="BW9" s="26" t="n"/>
      <c r="BX9" s="26" t="n"/>
      <c r="BY9" s="26" t="n"/>
      <c r="BZ9" s="26" t="n"/>
      <c r="CA9" s="26" t="n"/>
      <c r="CB9" s="26" t="n"/>
      <c r="CC9" s="26" t="n"/>
      <c r="CD9" s="26" t="n"/>
      <c r="CE9" s="26" t="n"/>
      <c r="CF9" s="26" t="n"/>
      <c r="CG9" s="26" t="n"/>
      <c r="CH9" s="26" t="n"/>
      <c r="CI9" s="26" t="n"/>
      <c r="CJ9" s="26" t="n"/>
      <c r="CK9" s="26" t="n"/>
      <c r="CL9" s="26" t="n"/>
      <c r="CM9" s="26" t="n"/>
      <c r="CN9" s="26" t="n"/>
      <c r="CO9" s="26" t="n"/>
      <c r="CP9" s="26" t="n"/>
      <c r="CQ9" s="26" t="n"/>
      <c r="CR9" s="26" t="n"/>
    </row>
    <row r="10">
      <c r="A10" s="19" t="n">
        <v>6</v>
      </c>
      <c r="B10" s="20" t="inlineStr">
        <is>
          <t>Example 06</t>
        </is>
      </c>
      <c r="C10" s="20" t="inlineStr">
        <is>
          <t>Client F</t>
        </is>
      </c>
      <c r="D10" s="5" t="n">
        <v>120</v>
      </c>
      <c r="E10" s="21" t="n">
        <v>1.1</v>
      </c>
      <c r="F10" s="22" t="n">
        <v>0.4</v>
      </c>
      <c r="G10" s="23" t="n">
        <v>46398</v>
      </c>
      <c r="H10" s="5" t="inlineStr">
        <is>
          <t>Planned</t>
        </is>
      </c>
      <c r="I10" s="24">
        <f>IF($D10="",0,IF(Settings!$D$12=0,0,MAX(1,ROUND(Settings!$D$12*Settings!$C$5*($D10/Settings!$C$6)^Settings!$E$12*IF(Settings!$C$12="Lara",$E10/$F10,1),0))))</f>
        <v/>
      </c>
      <c r="J10" s="25">
        <f>IF($G10="",0,WORKDAY($G10-1,1,Settings!$J$4:$J$23))</f>
        <v/>
      </c>
      <c r="K10" s="25">
        <f>IF(J10=0,0,IF(I10=0,J10,WORKDAY(J10,I10-1,Settings!$J$4:$J$23)))</f>
        <v/>
      </c>
      <c r="L10" s="24">
        <f>IF($D10="",0,IF(Settings!$D$13=0,0,MAX(1,ROUND(Settings!$D$13*Settings!$C$5*($D10/Settings!$C$6)^Settings!$E$13*IF(Settings!$C$13="Lara",$E10/$F10,1),0))))</f>
        <v/>
      </c>
      <c r="M10" s="25">
        <f>IF(K10=0,0,IF(L10=0,K10,WORKDAY(K10,1+Settings!$C$7,Settings!$J$4:$J$23)))</f>
        <v/>
      </c>
      <c r="N10" s="25">
        <f>IF(M10=0,0,IF(L10=0,M10,WORKDAY(M10,L10-1,Settings!$J$4:$J$23)))</f>
        <v/>
      </c>
      <c r="O10" s="24">
        <f>IF($D10="",0,IF(Settings!$D$14=0,0,MAX(1,ROUND(Settings!$D$14*Settings!$C$5*($D10/Settings!$C$6)^Settings!$E$14*IF(Settings!$C$14="Lara",$E10/$F10,1),0))))</f>
        <v/>
      </c>
      <c r="P10" s="25">
        <f>IF(N10=0,0,IF(O10=0,N10,WORKDAY(N10,1+Settings!$C$7,Settings!$J$4:$J$23)))</f>
        <v/>
      </c>
      <c r="Q10" s="25">
        <f>IF(P10=0,0,IF(O10=0,P10,WORKDAY(P10,O10-1,Settings!$J$4:$J$23)))</f>
        <v/>
      </c>
      <c r="R10" s="24">
        <f>IF($D10="",0,IF(Settings!$D$15=0,0,MAX(1,ROUND(Settings!$D$15*Settings!$C$5*($D10/Settings!$C$6)^Settings!$E$15*IF(Settings!$C$15="Lara",$E10/$F10,1),0))))</f>
        <v/>
      </c>
      <c r="S10" s="25">
        <f>IF(Q10=0,0,IF(R10=0,Q10,WORKDAY(Q10,1+Settings!$C$7,Settings!$J$4:$J$23)))</f>
        <v/>
      </c>
      <c r="T10" s="25">
        <f>IF(S10=0,0,IF(R10=0,S10,WORKDAY(S10,R10-1,Settings!$J$4:$J$23)))</f>
        <v/>
      </c>
      <c r="U10" s="24">
        <f>IF($D10="",0,IF(Settings!$D$16=0,0,MAX(1,ROUND(Settings!$D$16*Settings!$C$5*($D10/Settings!$C$6)^Settings!$E$16*IF(Settings!$C$16="Lara",$E10/$F10,1),0))))</f>
        <v/>
      </c>
      <c r="V10" s="25">
        <f>IF(T10=0,0,IF(U10=0,T10,WORKDAY(T10,1+Settings!$C$7,Settings!$J$4:$J$23)))</f>
        <v/>
      </c>
      <c r="W10" s="25">
        <f>IF(V10=0,0,IF(U10=0,V10,WORKDAY(V10,U10-1,Settings!$J$4:$J$23)))</f>
        <v/>
      </c>
      <c r="X10" s="24">
        <f>IF($D10="",0,IF(Settings!$D$17=0,0,MAX(1,ROUND(Settings!$D$17*Settings!$C$5*($D10/Settings!$C$6)^Settings!$E$17*IF(Settings!$C$17="Lara",$E10/$F10,1),0))))</f>
        <v/>
      </c>
      <c r="Y10" s="25">
        <f>IF(W10=0,0,IF(X10=0,W10,WORKDAY(W10,1+Settings!$C$7,Settings!$J$4:$J$23)))</f>
        <v/>
      </c>
      <c r="Z10" s="25">
        <f>IF(Y10=0,0,IF(X10=0,Y10,WORKDAY(Y10,X10-1,Settings!$J$4:$J$23)))</f>
        <v/>
      </c>
      <c r="AA10" s="24">
        <f>IF($D10="",0,IF(Settings!$D$18=0,0,MAX(1,ROUND(Settings!$D$18*Settings!$C$5*($D10/Settings!$C$6)^Settings!$E$18*IF(Settings!$C$18="Lara",$E10/$F10,1),0))))</f>
        <v/>
      </c>
      <c r="AB10" s="25">
        <f>IF(Z10=0,0,IF(AA10=0,Z10,WORKDAY(Z10,1+Settings!$C$7,Settings!$J$4:$J$23)))</f>
        <v/>
      </c>
      <c r="AC10" s="25">
        <f>IF(AB10=0,0,IF(AA10=0,AB10,WORKDAY(AB10,AA10-1,Settings!$J$4:$J$23)))</f>
        <v/>
      </c>
      <c r="AD10" s="24">
        <f>IF($D10="",0,IF(Settings!$D$19=0,0,MAX(1,ROUND(Settings!$D$19*Settings!$C$5*($D10/Settings!$C$6)^Settings!$E$19*IF(Settings!$C$19="Lara",$E10/$F10,1),0))))</f>
        <v/>
      </c>
      <c r="AE10" s="25">
        <f>IF(AC10=0,0,IF(AD10=0,AC10,WORKDAY(AC10,1+Settings!$C$7,Settings!$J$4:$J$23)))</f>
        <v/>
      </c>
      <c r="AF10" s="25">
        <f>IF(AE10=0,0,IF(AD10=0,AE10,WORKDAY(AE10,AD10-1,Settings!$J$4:$J$23)))</f>
        <v/>
      </c>
      <c r="AG10" s="25">
        <f>AF10</f>
        <v/>
      </c>
      <c r="AH10" s="24">
        <f>IF($D10="",0,(I10*(Settings!$C$12="Lara")+L10*(Settings!$C$13="Lara")+O10*(Settings!$C$14="Lara")+R10*(Settings!$C$15="Lara")+U10*(Settings!$C$16="Lara")+X10*(Settings!$C$17="Lara")+AA10*(Settings!$C$18="Lara")+AD10*(Settings!$C$19="Lara"))*$F10*Settings!$C$4)</f>
        <v/>
      </c>
      <c r="AI10" s="20" t="inlineStr">
        <is>
          <t>House, runs in the background</t>
        </is>
      </c>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6" t="n"/>
      <c r="BI10" s="26" t="n"/>
      <c r="BJ10" s="26" t="n"/>
      <c r="BK10" s="26" t="n"/>
      <c r="BL10" s="26" t="n"/>
      <c r="BM10" s="26" t="n"/>
      <c r="BN10" s="26" t="n"/>
      <c r="BO10" s="26" t="n"/>
      <c r="BP10" s="26" t="n"/>
      <c r="BQ10" s="26" t="n"/>
      <c r="BR10" s="26" t="n"/>
      <c r="BS10" s="26" t="n"/>
      <c r="BT10" s="26" t="n"/>
      <c r="BU10" s="26" t="n"/>
      <c r="BV10" s="26" t="n"/>
      <c r="BW10" s="26" t="n"/>
      <c r="BX10" s="26" t="n"/>
      <c r="BY10" s="26" t="n"/>
      <c r="BZ10" s="26" t="n"/>
      <c r="CA10" s="26" t="n"/>
      <c r="CB10" s="26" t="n"/>
      <c r="CC10" s="26" t="n"/>
      <c r="CD10" s="26" t="n"/>
      <c r="CE10" s="26" t="n"/>
      <c r="CF10" s="26" t="n"/>
      <c r="CG10" s="26" t="n"/>
      <c r="CH10" s="26" t="n"/>
      <c r="CI10" s="26" t="n"/>
      <c r="CJ10" s="26" t="n"/>
      <c r="CK10" s="26" t="n"/>
      <c r="CL10" s="26" t="n"/>
      <c r="CM10" s="26" t="n"/>
      <c r="CN10" s="26" t="n"/>
      <c r="CO10" s="26" t="n"/>
      <c r="CP10" s="26" t="n"/>
      <c r="CQ10" s="26" t="n"/>
      <c r="CR10" s="26" t="n"/>
    </row>
    <row r="11">
      <c r="A11" s="19" t="n">
        <v>7</v>
      </c>
      <c r="B11" s="20" t="n"/>
      <c r="C11" s="20" t="n"/>
      <c r="D11" s="5" t="n"/>
      <c r="E11" s="21" t="n"/>
      <c r="F11" s="22" t="n"/>
      <c r="G11" s="23" t="n"/>
      <c r="H11" s="5" t="n"/>
      <c r="I11" s="24">
        <f>IF($D11="",0,IF(Settings!$D$12=0,0,MAX(1,ROUND(Settings!$D$12*Settings!$C$5*($D11/Settings!$C$6)^Settings!$E$12*IF(Settings!$C$12="Lara",$E11/$F11,1),0))))</f>
        <v/>
      </c>
      <c r="J11" s="25">
        <f>IF($G11="",0,WORKDAY($G11-1,1,Settings!$J$4:$J$23))</f>
        <v/>
      </c>
      <c r="K11" s="25">
        <f>IF(J11=0,0,IF(I11=0,J11,WORKDAY(J11,I11-1,Settings!$J$4:$J$23)))</f>
        <v/>
      </c>
      <c r="L11" s="24">
        <f>IF($D11="",0,IF(Settings!$D$13=0,0,MAX(1,ROUND(Settings!$D$13*Settings!$C$5*($D11/Settings!$C$6)^Settings!$E$13*IF(Settings!$C$13="Lara",$E11/$F11,1),0))))</f>
        <v/>
      </c>
      <c r="M11" s="25">
        <f>IF(K11=0,0,IF(L11=0,K11,WORKDAY(K11,1+Settings!$C$7,Settings!$J$4:$J$23)))</f>
        <v/>
      </c>
      <c r="N11" s="25">
        <f>IF(M11=0,0,IF(L11=0,M11,WORKDAY(M11,L11-1,Settings!$J$4:$J$23)))</f>
        <v/>
      </c>
      <c r="O11" s="24">
        <f>IF($D11="",0,IF(Settings!$D$14=0,0,MAX(1,ROUND(Settings!$D$14*Settings!$C$5*($D11/Settings!$C$6)^Settings!$E$14*IF(Settings!$C$14="Lara",$E11/$F11,1),0))))</f>
        <v/>
      </c>
      <c r="P11" s="25">
        <f>IF(N11=0,0,IF(O11=0,N11,WORKDAY(N11,1+Settings!$C$7,Settings!$J$4:$J$23)))</f>
        <v/>
      </c>
      <c r="Q11" s="25">
        <f>IF(P11=0,0,IF(O11=0,P11,WORKDAY(P11,O11-1,Settings!$J$4:$J$23)))</f>
        <v/>
      </c>
      <c r="R11" s="24">
        <f>IF($D11="",0,IF(Settings!$D$15=0,0,MAX(1,ROUND(Settings!$D$15*Settings!$C$5*($D11/Settings!$C$6)^Settings!$E$15*IF(Settings!$C$15="Lara",$E11/$F11,1),0))))</f>
        <v/>
      </c>
      <c r="S11" s="25">
        <f>IF(Q11=0,0,IF(R11=0,Q11,WORKDAY(Q11,1+Settings!$C$7,Settings!$J$4:$J$23)))</f>
        <v/>
      </c>
      <c r="T11" s="25">
        <f>IF(S11=0,0,IF(R11=0,S11,WORKDAY(S11,R11-1,Settings!$J$4:$J$23)))</f>
        <v/>
      </c>
      <c r="U11" s="24">
        <f>IF($D11="",0,IF(Settings!$D$16=0,0,MAX(1,ROUND(Settings!$D$16*Settings!$C$5*($D11/Settings!$C$6)^Settings!$E$16*IF(Settings!$C$16="Lara",$E11/$F11,1),0))))</f>
        <v/>
      </c>
      <c r="V11" s="25">
        <f>IF(T11=0,0,IF(U11=0,T11,WORKDAY(T11,1+Settings!$C$7,Settings!$J$4:$J$23)))</f>
        <v/>
      </c>
      <c r="W11" s="25">
        <f>IF(V11=0,0,IF(U11=0,V11,WORKDAY(V11,U11-1,Settings!$J$4:$J$23)))</f>
        <v/>
      </c>
      <c r="X11" s="24">
        <f>IF($D11="",0,IF(Settings!$D$17=0,0,MAX(1,ROUND(Settings!$D$17*Settings!$C$5*($D11/Settings!$C$6)^Settings!$E$17*IF(Settings!$C$17="Lara",$E11/$F11,1),0))))</f>
        <v/>
      </c>
      <c r="Y11" s="25">
        <f>IF(W11=0,0,IF(X11=0,W11,WORKDAY(W11,1+Settings!$C$7,Settings!$J$4:$J$23)))</f>
        <v/>
      </c>
      <c r="Z11" s="25">
        <f>IF(Y11=0,0,IF(X11=0,Y11,WORKDAY(Y11,X11-1,Settings!$J$4:$J$23)))</f>
        <v/>
      </c>
      <c r="AA11" s="24">
        <f>IF($D11="",0,IF(Settings!$D$18=0,0,MAX(1,ROUND(Settings!$D$18*Settings!$C$5*($D11/Settings!$C$6)^Settings!$E$18*IF(Settings!$C$18="Lara",$E11/$F11,1),0))))</f>
        <v/>
      </c>
      <c r="AB11" s="25">
        <f>IF(Z11=0,0,IF(AA11=0,Z11,WORKDAY(Z11,1+Settings!$C$7,Settings!$J$4:$J$23)))</f>
        <v/>
      </c>
      <c r="AC11" s="25">
        <f>IF(AB11=0,0,IF(AA11=0,AB11,WORKDAY(AB11,AA11-1,Settings!$J$4:$J$23)))</f>
        <v/>
      </c>
      <c r="AD11" s="24">
        <f>IF($D11="",0,IF(Settings!$D$19=0,0,MAX(1,ROUND(Settings!$D$19*Settings!$C$5*($D11/Settings!$C$6)^Settings!$E$19*IF(Settings!$C$19="Lara",$E11/$F11,1),0))))</f>
        <v/>
      </c>
      <c r="AE11" s="25">
        <f>IF(AC11=0,0,IF(AD11=0,AC11,WORKDAY(AC11,1+Settings!$C$7,Settings!$J$4:$J$23)))</f>
        <v/>
      </c>
      <c r="AF11" s="25">
        <f>IF(AE11=0,0,IF(AD11=0,AE11,WORKDAY(AE11,AD11-1,Settings!$J$4:$J$23)))</f>
        <v/>
      </c>
      <c r="AG11" s="25">
        <f>AF11</f>
        <v/>
      </c>
      <c r="AH11" s="24">
        <f>IF($D11="",0,(I11*(Settings!$C$12="Lara")+L11*(Settings!$C$13="Lara")+O11*(Settings!$C$14="Lara")+R11*(Settings!$C$15="Lara")+U11*(Settings!$C$16="Lara")+X11*(Settings!$C$17="Lara")+AA11*(Settings!$C$18="Lara")+AD11*(Settings!$C$19="Lara"))*$F11*Settings!$C$4)</f>
        <v/>
      </c>
      <c r="AI11" s="20" t="n"/>
      <c r="AK11" s="26" t="n"/>
      <c r="AL11" s="26" t="n"/>
      <c r="AM11" s="26" t="n"/>
      <c r="AN11" s="26" t="n"/>
      <c r="AO11" s="26" t="n"/>
      <c r="AP11" s="26" t="n"/>
      <c r="AQ11" s="26" t="n"/>
      <c r="AR11" s="26" t="n"/>
      <c r="AS11" s="26" t="n"/>
      <c r="AT11" s="26" t="n"/>
      <c r="AU11" s="26" t="n"/>
      <c r="AV11" s="26" t="n"/>
      <c r="AW11" s="26" t="n"/>
      <c r="AX11" s="26" t="n"/>
      <c r="AY11" s="26" t="n"/>
      <c r="AZ11" s="26" t="n"/>
      <c r="BA11" s="26" t="n"/>
      <c r="BB11" s="26" t="n"/>
      <c r="BC11" s="26" t="n"/>
      <c r="BD11" s="26" t="n"/>
      <c r="BE11" s="26" t="n"/>
      <c r="BF11" s="26" t="n"/>
      <c r="BG11" s="26" t="n"/>
      <c r="BH11" s="26" t="n"/>
      <c r="BI11" s="26" t="n"/>
      <c r="BJ11" s="26" t="n"/>
      <c r="BK11" s="26" t="n"/>
      <c r="BL11" s="26" t="n"/>
      <c r="BM11" s="26" t="n"/>
      <c r="BN11" s="26" t="n"/>
      <c r="BO11" s="26" t="n"/>
      <c r="BP11" s="26" t="n"/>
      <c r="BQ11" s="26" t="n"/>
      <c r="BR11" s="26" t="n"/>
      <c r="BS11" s="26" t="n"/>
      <c r="BT11" s="26" t="n"/>
      <c r="BU11" s="26" t="n"/>
      <c r="BV11" s="26" t="n"/>
      <c r="BW11" s="26" t="n"/>
      <c r="BX11" s="26" t="n"/>
      <c r="BY11" s="26" t="n"/>
      <c r="BZ11" s="26" t="n"/>
      <c r="CA11" s="26" t="n"/>
      <c r="CB11" s="26" t="n"/>
      <c r="CC11" s="26" t="n"/>
      <c r="CD11" s="26" t="n"/>
      <c r="CE11" s="26" t="n"/>
      <c r="CF11" s="26" t="n"/>
      <c r="CG11" s="26" t="n"/>
      <c r="CH11" s="26" t="n"/>
      <c r="CI11" s="26" t="n"/>
      <c r="CJ11" s="26" t="n"/>
      <c r="CK11" s="26" t="n"/>
      <c r="CL11" s="26" t="n"/>
      <c r="CM11" s="26" t="n"/>
      <c r="CN11" s="26" t="n"/>
      <c r="CO11" s="26" t="n"/>
      <c r="CP11" s="26" t="n"/>
      <c r="CQ11" s="26" t="n"/>
      <c r="CR11" s="26" t="n"/>
    </row>
    <row r="12">
      <c r="A12" s="19" t="n">
        <v>8</v>
      </c>
      <c r="B12" s="20" t="n"/>
      <c r="C12" s="20" t="n"/>
      <c r="D12" s="5" t="n"/>
      <c r="E12" s="21" t="n"/>
      <c r="F12" s="22" t="n"/>
      <c r="G12" s="23" t="n"/>
      <c r="H12" s="5" t="n"/>
      <c r="I12" s="24">
        <f>IF($D12="",0,IF(Settings!$D$12=0,0,MAX(1,ROUND(Settings!$D$12*Settings!$C$5*($D12/Settings!$C$6)^Settings!$E$12*IF(Settings!$C$12="Lara",$E12/$F12,1),0))))</f>
        <v/>
      </c>
      <c r="J12" s="25">
        <f>IF($G12="",0,WORKDAY($G12-1,1,Settings!$J$4:$J$23))</f>
        <v/>
      </c>
      <c r="K12" s="25">
        <f>IF(J12=0,0,IF(I12=0,J12,WORKDAY(J12,I12-1,Settings!$J$4:$J$23)))</f>
        <v/>
      </c>
      <c r="L12" s="24">
        <f>IF($D12="",0,IF(Settings!$D$13=0,0,MAX(1,ROUND(Settings!$D$13*Settings!$C$5*($D12/Settings!$C$6)^Settings!$E$13*IF(Settings!$C$13="Lara",$E12/$F12,1),0))))</f>
        <v/>
      </c>
      <c r="M12" s="25">
        <f>IF(K12=0,0,IF(L12=0,K12,WORKDAY(K12,1+Settings!$C$7,Settings!$J$4:$J$23)))</f>
        <v/>
      </c>
      <c r="N12" s="25">
        <f>IF(M12=0,0,IF(L12=0,M12,WORKDAY(M12,L12-1,Settings!$J$4:$J$23)))</f>
        <v/>
      </c>
      <c r="O12" s="24">
        <f>IF($D12="",0,IF(Settings!$D$14=0,0,MAX(1,ROUND(Settings!$D$14*Settings!$C$5*($D12/Settings!$C$6)^Settings!$E$14*IF(Settings!$C$14="Lara",$E12/$F12,1),0))))</f>
        <v/>
      </c>
      <c r="P12" s="25">
        <f>IF(N12=0,0,IF(O12=0,N12,WORKDAY(N12,1+Settings!$C$7,Settings!$J$4:$J$23)))</f>
        <v/>
      </c>
      <c r="Q12" s="25">
        <f>IF(P12=0,0,IF(O12=0,P12,WORKDAY(P12,O12-1,Settings!$J$4:$J$23)))</f>
        <v/>
      </c>
      <c r="R12" s="24">
        <f>IF($D12="",0,IF(Settings!$D$15=0,0,MAX(1,ROUND(Settings!$D$15*Settings!$C$5*($D12/Settings!$C$6)^Settings!$E$15*IF(Settings!$C$15="Lara",$E12/$F12,1),0))))</f>
        <v/>
      </c>
      <c r="S12" s="25">
        <f>IF(Q12=0,0,IF(R12=0,Q12,WORKDAY(Q12,1+Settings!$C$7,Settings!$J$4:$J$23)))</f>
        <v/>
      </c>
      <c r="T12" s="25">
        <f>IF(S12=0,0,IF(R12=0,S12,WORKDAY(S12,R12-1,Settings!$J$4:$J$23)))</f>
        <v/>
      </c>
      <c r="U12" s="24">
        <f>IF($D12="",0,IF(Settings!$D$16=0,0,MAX(1,ROUND(Settings!$D$16*Settings!$C$5*($D12/Settings!$C$6)^Settings!$E$16*IF(Settings!$C$16="Lara",$E12/$F12,1),0))))</f>
        <v/>
      </c>
      <c r="V12" s="25">
        <f>IF(T12=0,0,IF(U12=0,T12,WORKDAY(T12,1+Settings!$C$7,Settings!$J$4:$J$23)))</f>
        <v/>
      </c>
      <c r="W12" s="25">
        <f>IF(V12=0,0,IF(U12=0,V12,WORKDAY(V12,U12-1,Settings!$J$4:$J$23)))</f>
        <v/>
      </c>
      <c r="X12" s="24">
        <f>IF($D12="",0,IF(Settings!$D$17=0,0,MAX(1,ROUND(Settings!$D$17*Settings!$C$5*($D12/Settings!$C$6)^Settings!$E$17*IF(Settings!$C$17="Lara",$E12/$F12,1),0))))</f>
        <v/>
      </c>
      <c r="Y12" s="25">
        <f>IF(W12=0,0,IF(X12=0,W12,WORKDAY(W12,1+Settings!$C$7,Settings!$J$4:$J$23)))</f>
        <v/>
      </c>
      <c r="Z12" s="25">
        <f>IF(Y12=0,0,IF(X12=0,Y12,WORKDAY(Y12,X12-1,Settings!$J$4:$J$23)))</f>
        <v/>
      </c>
      <c r="AA12" s="24">
        <f>IF($D12="",0,IF(Settings!$D$18=0,0,MAX(1,ROUND(Settings!$D$18*Settings!$C$5*($D12/Settings!$C$6)^Settings!$E$18*IF(Settings!$C$18="Lara",$E12/$F12,1),0))))</f>
        <v/>
      </c>
      <c r="AB12" s="25">
        <f>IF(Z12=0,0,IF(AA12=0,Z12,WORKDAY(Z12,1+Settings!$C$7,Settings!$J$4:$J$23)))</f>
        <v/>
      </c>
      <c r="AC12" s="25">
        <f>IF(AB12=0,0,IF(AA12=0,AB12,WORKDAY(AB12,AA12-1,Settings!$J$4:$J$23)))</f>
        <v/>
      </c>
      <c r="AD12" s="24">
        <f>IF($D12="",0,IF(Settings!$D$19=0,0,MAX(1,ROUND(Settings!$D$19*Settings!$C$5*($D12/Settings!$C$6)^Settings!$E$19*IF(Settings!$C$19="Lara",$E12/$F12,1),0))))</f>
        <v/>
      </c>
      <c r="AE12" s="25">
        <f>IF(AC12=0,0,IF(AD12=0,AC12,WORKDAY(AC12,1+Settings!$C$7,Settings!$J$4:$J$23)))</f>
        <v/>
      </c>
      <c r="AF12" s="25">
        <f>IF(AE12=0,0,IF(AD12=0,AE12,WORKDAY(AE12,AD12-1,Settings!$J$4:$J$23)))</f>
        <v/>
      </c>
      <c r="AG12" s="25">
        <f>AF12</f>
        <v/>
      </c>
      <c r="AH12" s="24">
        <f>IF($D12="",0,(I12*(Settings!$C$12="Lara")+L12*(Settings!$C$13="Lara")+O12*(Settings!$C$14="Lara")+R12*(Settings!$C$15="Lara")+U12*(Settings!$C$16="Lara")+X12*(Settings!$C$17="Lara")+AA12*(Settings!$C$18="Lara")+AD12*(Settings!$C$19="Lara"))*$F12*Settings!$C$4)</f>
        <v/>
      </c>
      <c r="AI12" s="20" t="n"/>
      <c r="AK12" s="26" t="n"/>
      <c r="AL12" s="26" t="n"/>
      <c r="AM12" s="26" t="n"/>
      <c r="AN12" s="26" t="n"/>
      <c r="AO12" s="26" t="n"/>
      <c r="AP12" s="26" t="n"/>
      <c r="AQ12" s="26" t="n"/>
      <c r="AR12" s="26" t="n"/>
      <c r="AS12" s="26" t="n"/>
      <c r="AT12" s="26" t="n"/>
      <c r="AU12" s="26" t="n"/>
      <c r="AV12" s="26" t="n"/>
      <c r="AW12" s="26" t="n"/>
      <c r="AX12" s="26" t="n"/>
      <c r="AY12" s="26" t="n"/>
      <c r="AZ12" s="26" t="n"/>
      <c r="BA12" s="26" t="n"/>
      <c r="BB12" s="26" t="n"/>
      <c r="BC12" s="26" t="n"/>
      <c r="BD12" s="26" t="n"/>
      <c r="BE12" s="26" t="n"/>
      <c r="BF12" s="26" t="n"/>
      <c r="BG12" s="26" t="n"/>
      <c r="BH12" s="26" t="n"/>
      <c r="BI12" s="26" t="n"/>
      <c r="BJ12" s="26" t="n"/>
      <c r="BK12" s="26" t="n"/>
      <c r="BL12" s="26" t="n"/>
      <c r="BM12" s="26" t="n"/>
      <c r="BN12" s="26" t="n"/>
      <c r="BO12" s="26" t="n"/>
      <c r="BP12" s="26" t="n"/>
      <c r="BQ12" s="26" t="n"/>
      <c r="BR12" s="26" t="n"/>
      <c r="BS12" s="26" t="n"/>
      <c r="BT12" s="26" t="n"/>
      <c r="BU12" s="26" t="n"/>
      <c r="BV12" s="26" t="n"/>
      <c r="BW12" s="26" t="n"/>
      <c r="BX12" s="26" t="n"/>
      <c r="BY12" s="26" t="n"/>
      <c r="BZ12" s="26" t="n"/>
      <c r="CA12" s="26" t="n"/>
      <c r="CB12" s="26" t="n"/>
      <c r="CC12" s="26" t="n"/>
      <c r="CD12" s="26" t="n"/>
      <c r="CE12" s="26" t="n"/>
      <c r="CF12" s="26" t="n"/>
      <c r="CG12" s="26" t="n"/>
      <c r="CH12" s="26" t="n"/>
      <c r="CI12" s="26" t="n"/>
      <c r="CJ12" s="26" t="n"/>
      <c r="CK12" s="26" t="n"/>
      <c r="CL12" s="26" t="n"/>
      <c r="CM12" s="26" t="n"/>
      <c r="CN12" s="26" t="n"/>
      <c r="CO12" s="26" t="n"/>
      <c r="CP12" s="26" t="n"/>
      <c r="CQ12" s="26" t="n"/>
      <c r="CR12" s="26" t="n"/>
    </row>
    <row r="13">
      <c r="A13" s="19" t="n">
        <v>9</v>
      </c>
      <c r="B13" s="20" t="n"/>
      <c r="C13" s="20" t="n"/>
      <c r="D13" s="5" t="n"/>
      <c r="E13" s="21" t="n"/>
      <c r="F13" s="22" t="n"/>
      <c r="G13" s="23" t="n"/>
      <c r="H13" s="5" t="n"/>
      <c r="I13" s="24">
        <f>IF($D13="",0,IF(Settings!$D$12=0,0,MAX(1,ROUND(Settings!$D$12*Settings!$C$5*($D13/Settings!$C$6)^Settings!$E$12*IF(Settings!$C$12="Lara",$E13/$F13,1),0))))</f>
        <v/>
      </c>
      <c r="J13" s="25">
        <f>IF($G13="",0,WORKDAY($G13-1,1,Settings!$J$4:$J$23))</f>
        <v/>
      </c>
      <c r="K13" s="25">
        <f>IF(J13=0,0,IF(I13=0,J13,WORKDAY(J13,I13-1,Settings!$J$4:$J$23)))</f>
        <v/>
      </c>
      <c r="L13" s="24">
        <f>IF($D13="",0,IF(Settings!$D$13=0,0,MAX(1,ROUND(Settings!$D$13*Settings!$C$5*($D13/Settings!$C$6)^Settings!$E$13*IF(Settings!$C$13="Lara",$E13/$F13,1),0))))</f>
        <v/>
      </c>
      <c r="M13" s="25">
        <f>IF(K13=0,0,IF(L13=0,K13,WORKDAY(K13,1+Settings!$C$7,Settings!$J$4:$J$23)))</f>
        <v/>
      </c>
      <c r="N13" s="25">
        <f>IF(M13=0,0,IF(L13=0,M13,WORKDAY(M13,L13-1,Settings!$J$4:$J$23)))</f>
        <v/>
      </c>
      <c r="O13" s="24">
        <f>IF($D13="",0,IF(Settings!$D$14=0,0,MAX(1,ROUND(Settings!$D$14*Settings!$C$5*($D13/Settings!$C$6)^Settings!$E$14*IF(Settings!$C$14="Lara",$E13/$F13,1),0))))</f>
        <v/>
      </c>
      <c r="P13" s="25">
        <f>IF(N13=0,0,IF(O13=0,N13,WORKDAY(N13,1+Settings!$C$7,Settings!$J$4:$J$23)))</f>
        <v/>
      </c>
      <c r="Q13" s="25">
        <f>IF(P13=0,0,IF(O13=0,P13,WORKDAY(P13,O13-1,Settings!$J$4:$J$23)))</f>
        <v/>
      </c>
      <c r="R13" s="24">
        <f>IF($D13="",0,IF(Settings!$D$15=0,0,MAX(1,ROUND(Settings!$D$15*Settings!$C$5*($D13/Settings!$C$6)^Settings!$E$15*IF(Settings!$C$15="Lara",$E13/$F13,1),0))))</f>
        <v/>
      </c>
      <c r="S13" s="25">
        <f>IF(Q13=0,0,IF(R13=0,Q13,WORKDAY(Q13,1+Settings!$C$7,Settings!$J$4:$J$23)))</f>
        <v/>
      </c>
      <c r="T13" s="25">
        <f>IF(S13=0,0,IF(R13=0,S13,WORKDAY(S13,R13-1,Settings!$J$4:$J$23)))</f>
        <v/>
      </c>
      <c r="U13" s="24">
        <f>IF($D13="",0,IF(Settings!$D$16=0,0,MAX(1,ROUND(Settings!$D$16*Settings!$C$5*($D13/Settings!$C$6)^Settings!$E$16*IF(Settings!$C$16="Lara",$E13/$F13,1),0))))</f>
        <v/>
      </c>
      <c r="V13" s="25">
        <f>IF(T13=0,0,IF(U13=0,T13,WORKDAY(T13,1+Settings!$C$7,Settings!$J$4:$J$23)))</f>
        <v/>
      </c>
      <c r="W13" s="25">
        <f>IF(V13=0,0,IF(U13=0,V13,WORKDAY(V13,U13-1,Settings!$J$4:$J$23)))</f>
        <v/>
      </c>
      <c r="X13" s="24">
        <f>IF($D13="",0,IF(Settings!$D$17=0,0,MAX(1,ROUND(Settings!$D$17*Settings!$C$5*($D13/Settings!$C$6)^Settings!$E$17*IF(Settings!$C$17="Lara",$E13/$F13,1),0))))</f>
        <v/>
      </c>
      <c r="Y13" s="25">
        <f>IF(W13=0,0,IF(X13=0,W13,WORKDAY(W13,1+Settings!$C$7,Settings!$J$4:$J$23)))</f>
        <v/>
      </c>
      <c r="Z13" s="25">
        <f>IF(Y13=0,0,IF(X13=0,Y13,WORKDAY(Y13,X13-1,Settings!$J$4:$J$23)))</f>
        <v/>
      </c>
      <c r="AA13" s="24">
        <f>IF($D13="",0,IF(Settings!$D$18=0,0,MAX(1,ROUND(Settings!$D$18*Settings!$C$5*($D13/Settings!$C$6)^Settings!$E$18*IF(Settings!$C$18="Lara",$E13/$F13,1),0))))</f>
        <v/>
      </c>
      <c r="AB13" s="25">
        <f>IF(Z13=0,0,IF(AA13=0,Z13,WORKDAY(Z13,1+Settings!$C$7,Settings!$J$4:$J$23)))</f>
        <v/>
      </c>
      <c r="AC13" s="25">
        <f>IF(AB13=0,0,IF(AA13=0,AB13,WORKDAY(AB13,AA13-1,Settings!$J$4:$J$23)))</f>
        <v/>
      </c>
      <c r="AD13" s="24">
        <f>IF($D13="",0,IF(Settings!$D$19=0,0,MAX(1,ROUND(Settings!$D$19*Settings!$C$5*($D13/Settings!$C$6)^Settings!$E$19*IF(Settings!$C$19="Lara",$E13/$F13,1),0))))</f>
        <v/>
      </c>
      <c r="AE13" s="25">
        <f>IF(AC13=0,0,IF(AD13=0,AC13,WORKDAY(AC13,1+Settings!$C$7,Settings!$J$4:$J$23)))</f>
        <v/>
      </c>
      <c r="AF13" s="25">
        <f>IF(AE13=0,0,IF(AD13=0,AE13,WORKDAY(AE13,AD13-1,Settings!$J$4:$J$23)))</f>
        <v/>
      </c>
      <c r="AG13" s="25">
        <f>AF13</f>
        <v/>
      </c>
      <c r="AH13" s="24">
        <f>IF($D13="",0,(I13*(Settings!$C$12="Lara")+L13*(Settings!$C$13="Lara")+O13*(Settings!$C$14="Lara")+R13*(Settings!$C$15="Lara")+U13*(Settings!$C$16="Lara")+X13*(Settings!$C$17="Lara")+AA13*(Settings!$C$18="Lara")+AD13*(Settings!$C$19="Lara"))*$F13*Settings!$C$4)</f>
        <v/>
      </c>
      <c r="AI13" s="20"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c r="BF13" s="26" t="n"/>
      <c r="BG13" s="26" t="n"/>
      <c r="BH13" s="26" t="n"/>
      <c r="BI13" s="26" t="n"/>
      <c r="BJ13" s="26" t="n"/>
      <c r="BK13" s="26" t="n"/>
      <c r="BL13" s="26" t="n"/>
      <c r="BM13" s="26" t="n"/>
      <c r="BN13" s="26" t="n"/>
      <c r="BO13" s="26" t="n"/>
      <c r="BP13" s="26" t="n"/>
      <c r="BQ13" s="26" t="n"/>
      <c r="BR13" s="26" t="n"/>
      <c r="BS13" s="26" t="n"/>
      <c r="BT13" s="26" t="n"/>
      <c r="BU13" s="26" t="n"/>
      <c r="BV13" s="26" t="n"/>
      <c r="BW13" s="26" t="n"/>
      <c r="BX13" s="26" t="n"/>
      <c r="BY13" s="26" t="n"/>
      <c r="BZ13" s="26" t="n"/>
      <c r="CA13" s="26" t="n"/>
      <c r="CB13" s="26" t="n"/>
      <c r="CC13" s="26" t="n"/>
      <c r="CD13" s="26" t="n"/>
      <c r="CE13" s="26" t="n"/>
      <c r="CF13" s="26" t="n"/>
      <c r="CG13" s="26" t="n"/>
      <c r="CH13" s="26" t="n"/>
      <c r="CI13" s="26" t="n"/>
      <c r="CJ13" s="26" t="n"/>
      <c r="CK13" s="26" t="n"/>
      <c r="CL13" s="26" t="n"/>
      <c r="CM13" s="26" t="n"/>
      <c r="CN13" s="26" t="n"/>
      <c r="CO13" s="26" t="n"/>
      <c r="CP13" s="26" t="n"/>
      <c r="CQ13" s="26" t="n"/>
      <c r="CR13" s="26" t="n"/>
    </row>
    <row r="14">
      <c r="A14" s="19" t="n">
        <v>10</v>
      </c>
      <c r="B14" s="20" t="n"/>
      <c r="C14" s="20" t="n"/>
      <c r="D14" s="5" t="n"/>
      <c r="E14" s="21" t="n"/>
      <c r="F14" s="22" t="n"/>
      <c r="G14" s="23" t="n"/>
      <c r="H14" s="5" t="n"/>
      <c r="I14" s="24">
        <f>IF($D14="",0,IF(Settings!$D$12=0,0,MAX(1,ROUND(Settings!$D$12*Settings!$C$5*($D14/Settings!$C$6)^Settings!$E$12*IF(Settings!$C$12="Lara",$E14/$F14,1),0))))</f>
        <v/>
      </c>
      <c r="J14" s="25">
        <f>IF($G14="",0,WORKDAY($G14-1,1,Settings!$J$4:$J$23))</f>
        <v/>
      </c>
      <c r="K14" s="25">
        <f>IF(J14=0,0,IF(I14=0,J14,WORKDAY(J14,I14-1,Settings!$J$4:$J$23)))</f>
        <v/>
      </c>
      <c r="L14" s="24">
        <f>IF($D14="",0,IF(Settings!$D$13=0,0,MAX(1,ROUND(Settings!$D$13*Settings!$C$5*($D14/Settings!$C$6)^Settings!$E$13*IF(Settings!$C$13="Lara",$E14/$F14,1),0))))</f>
        <v/>
      </c>
      <c r="M14" s="25">
        <f>IF(K14=0,0,IF(L14=0,K14,WORKDAY(K14,1+Settings!$C$7,Settings!$J$4:$J$23)))</f>
        <v/>
      </c>
      <c r="N14" s="25">
        <f>IF(M14=0,0,IF(L14=0,M14,WORKDAY(M14,L14-1,Settings!$J$4:$J$23)))</f>
        <v/>
      </c>
      <c r="O14" s="24">
        <f>IF($D14="",0,IF(Settings!$D$14=0,0,MAX(1,ROUND(Settings!$D$14*Settings!$C$5*($D14/Settings!$C$6)^Settings!$E$14*IF(Settings!$C$14="Lara",$E14/$F14,1),0))))</f>
        <v/>
      </c>
      <c r="P14" s="25">
        <f>IF(N14=0,0,IF(O14=0,N14,WORKDAY(N14,1+Settings!$C$7,Settings!$J$4:$J$23)))</f>
        <v/>
      </c>
      <c r="Q14" s="25">
        <f>IF(P14=0,0,IF(O14=0,P14,WORKDAY(P14,O14-1,Settings!$J$4:$J$23)))</f>
        <v/>
      </c>
      <c r="R14" s="24">
        <f>IF($D14="",0,IF(Settings!$D$15=0,0,MAX(1,ROUND(Settings!$D$15*Settings!$C$5*($D14/Settings!$C$6)^Settings!$E$15*IF(Settings!$C$15="Lara",$E14/$F14,1),0))))</f>
        <v/>
      </c>
      <c r="S14" s="25">
        <f>IF(Q14=0,0,IF(R14=0,Q14,WORKDAY(Q14,1+Settings!$C$7,Settings!$J$4:$J$23)))</f>
        <v/>
      </c>
      <c r="T14" s="25">
        <f>IF(S14=0,0,IF(R14=0,S14,WORKDAY(S14,R14-1,Settings!$J$4:$J$23)))</f>
        <v/>
      </c>
      <c r="U14" s="24">
        <f>IF($D14="",0,IF(Settings!$D$16=0,0,MAX(1,ROUND(Settings!$D$16*Settings!$C$5*($D14/Settings!$C$6)^Settings!$E$16*IF(Settings!$C$16="Lara",$E14/$F14,1),0))))</f>
        <v/>
      </c>
      <c r="V14" s="25">
        <f>IF(T14=0,0,IF(U14=0,T14,WORKDAY(T14,1+Settings!$C$7,Settings!$J$4:$J$23)))</f>
        <v/>
      </c>
      <c r="W14" s="25">
        <f>IF(V14=0,0,IF(U14=0,V14,WORKDAY(V14,U14-1,Settings!$J$4:$J$23)))</f>
        <v/>
      </c>
      <c r="X14" s="24">
        <f>IF($D14="",0,IF(Settings!$D$17=0,0,MAX(1,ROUND(Settings!$D$17*Settings!$C$5*($D14/Settings!$C$6)^Settings!$E$17*IF(Settings!$C$17="Lara",$E14/$F14,1),0))))</f>
        <v/>
      </c>
      <c r="Y14" s="25">
        <f>IF(W14=0,0,IF(X14=0,W14,WORKDAY(W14,1+Settings!$C$7,Settings!$J$4:$J$23)))</f>
        <v/>
      </c>
      <c r="Z14" s="25">
        <f>IF(Y14=0,0,IF(X14=0,Y14,WORKDAY(Y14,X14-1,Settings!$J$4:$J$23)))</f>
        <v/>
      </c>
      <c r="AA14" s="24">
        <f>IF($D14="",0,IF(Settings!$D$18=0,0,MAX(1,ROUND(Settings!$D$18*Settings!$C$5*($D14/Settings!$C$6)^Settings!$E$18*IF(Settings!$C$18="Lara",$E14/$F14,1),0))))</f>
        <v/>
      </c>
      <c r="AB14" s="25">
        <f>IF(Z14=0,0,IF(AA14=0,Z14,WORKDAY(Z14,1+Settings!$C$7,Settings!$J$4:$J$23)))</f>
        <v/>
      </c>
      <c r="AC14" s="25">
        <f>IF(AB14=0,0,IF(AA14=0,AB14,WORKDAY(AB14,AA14-1,Settings!$J$4:$J$23)))</f>
        <v/>
      </c>
      <c r="AD14" s="24">
        <f>IF($D14="",0,IF(Settings!$D$19=0,0,MAX(1,ROUND(Settings!$D$19*Settings!$C$5*($D14/Settings!$C$6)^Settings!$E$19*IF(Settings!$C$19="Lara",$E14/$F14,1),0))))</f>
        <v/>
      </c>
      <c r="AE14" s="25">
        <f>IF(AC14=0,0,IF(AD14=0,AC14,WORKDAY(AC14,1+Settings!$C$7,Settings!$J$4:$J$23)))</f>
        <v/>
      </c>
      <c r="AF14" s="25">
        <f>IF(AE14=0,0,IF(AD14=0,AE14,WORKDAY(AE14,AD14-1,Settings!$J$4:$J$23)))</f>
        <v/>
      </c>
      <c r="AG14" s="25">
        <f>AF14</f>
        <v/>
      </c>
      <c r="AH14" s="24">
        <f>IF($D14="",0,(I14*(Settings!$C$12="Lara")+L14*(Settings!$C$13="Lara")+O14*(Settings!$C$14="Lara")+R14*(Settings!$C$15="Lara")+U14*(Settings!$C$16="Lara")+X14*(Settings!$C$17="Lara")+AA14*(Settings!$C$18="Lara")+AD14*(Settings!$C$19="Lara"))*$F14*Settings!$C$4)</f>
        <v/>
      </c>
      <c r="AI14" s="20" t="n"/>
      <c r="AK14" s="26" t="n"/>
      <c r="AL14" s="26" t="n"/>
      <c r="AM14" s="26" t="n"/>
      <c r="AN14" s="26" t="n"/>
      <c r="AO14" s="26" t="n"/>
      <c r="AP14" s="26" t="n"/>
      <c r="AQ14" s="26" t="n"/>
      <c r="AR14" s="26" t="n"/>
      <c r="AS14" s="26" t="n"/>
      <c r="AT14" s="26" t="n"/>
      <c r="AU14" s="26" t="n"/>
      <c r="AV14" s="26" t="n"/>
      <c r="AW14" s="26" t="n"/>
      <c r="AX14" s="26" t="n"/>
      <c r="AY14" s="26" t="n"/>
      <c r="AZ14" s="26" t="n"/>
      <c r="BA14" s="26" t="n"/>
      <c r="BB14" s="26" t="n"/>
      <c r="BC14" s="26" t="n"/>
      <c r="BD14" s="26" t="n"/>
      <c r="BE14" s="26" t="n"/>
      <c r="BF14" s="26" t="n"/>
      <c r="BG14" s="26" t="n"/>
      <c r="BH14" s="26" t="n"/>
      <c r="BI14" s="26" t="n"/>
      <c r="BJ14" s="26" t="n"/>
      <c r="BK14" s="26" t="n"/>
      <c r="BL14" s="26" t="n"/>
      <c r="BM14" s="26" t="n"/>
      <c r="BN14" s="26" t="n"/>
      <c r="BO14" s="26" t="n"/>
      <c r="BP14" s="26" t="n"/>
      <c r="BQ14" s="26" t="n"/>
      <c r="BR14" s="26" t="n"/>
      <c r="BS14" s="26" t="n"/>
      <c r="BT14" s="26" t="n"/>
      <c r="BU14" s="26" t="n"/>
      <c r="BV14" s="26" t="n"/>
      <c r="BW14" s="26" t="n"/>
      <c r="BX14" s="26" t="n"/>
      <c r="BY14" s="26" t="n"/>
      <c r="BZ14" s="26" t="n"/>
      <c r="CA14" s="26" t="n"/>
      <c r="CB14" s="26" t="n"/>
      <c r="CC14" s="26" t="n"/>
      <c r="CD14" s="26" t="n"/>
      <c r="CE14" s="26" t="n"/>
      <c r="CF14" s="26" t="n"/>
      <c r="CG14" s="26" t="n"/>
      <c r="CH14" s="26" t="n"/>
      <c r="CI14" s="26" t="n"/>
      <c r="CJ14" s="26" t="n"/>
      <c r="CK14" s="26" t="n"/>
      <c r="CL14" s="26" t="n"/>
      <c r="CM14" s="26" t="n"/>
      <c r="CN14" s="26" t="n"/>
      <c r="CO14" s="26" t="n"/>
      <c r="CP14" s="26" t="n"/>
      <c r="CQ14" s="26" t="n"/>
      <c r="CR14" s="26" t="n"/>
    </row>
    <row r="15">
      <c r="A15" s="19" t="n">
        <v>11</v>
      </c>
      <c r="B15" s="20" t="n"/>
      <c r="C15" s="20" t="n"/>
      <c r="D15" s="5" t="n"/>
      <c r="E15" s="21" t="n"/>
      <c r="F15" s="22" t="n"/>
      <c r="G15" s="23" t="n"/>
      <c r="H15" s="5" t="n"/>
      <c r="I15" s="24">
        <f>IF($D15="",0,IF(Settings!$D$12=0,0,MAX(1,ROUND(Settings!$D$12*Settings!$C$5*($D15/Settings!$C$6)^Settings!$E$12*IF(Settings!$C$12="Lara",$E15/$F15,1),0))))</f>
        <v/>
      </c>
      <c r="J15" s="25">
        <f>IF($G15="",0,WORKDAY($G15-1,1,Settings!$J$4:$J$23))</f>
        <v/>
      </c>
      <c r="K15" s="25">
        <f>IF(J15=0,0,IF(I15=0,J15,WORKDAY(J15,I15-1,Settings!$J$4:$J$23)))</f>
        <v/>
      </c>
      <c r="L15" s="24">
        <f>IF($D15="",0,IF(Settings!$D$13=0,0,MAX(1,ROUND(Settings!$D$13*Settings!$C$5*($D15/Settings!$C$6)^Settings!$E$13*IF(Settings!$C$13="Lara",$E15/$F15,1),0))))</f>
        <v/>
      </c>
      <c r="M15" s="25">
        <f>IF(K15=0,0,IF(L15=0,K15,WORKDAY(K15,1+Settings!$C$7,Settings!$J$4:$J$23)))</f>
        <v/>
      </c>
      <c r="N15" s="25">
        <f>IF(M15=0,0,IF(L15=0,M15,WORKDAY(M15,L15-1,Settings!$J$4:$J$23)))</f>
        <v/>
      </c>
      <c r="O15" s="24">
        <f>IF($D15="",0,IF(Settings!$D$14=0,0,MAX(1,ROUND(Settings!$D$14*Settings!$C$5*($D15/Settings!$C$6)^Settings!$E$14*IF(Settings!$C$14="Lara",$E15/$F15,1),0))))</f>
        <v/>
      </c>
      <c r="P15" s="25">
        <f>IF(N15=0,0,IF(O15=0,N15,WORKDAY(N15,1+Settings!$C$7,Settings!$J$4:$J$23)))</f>
        <v/>
      </c>
      <c r="Q15" s="25">
        <f>IF(P15=0,0,IF(O15=0,P15,WORKDAY(P15,O15-1,Settings!$J$4:$J$23)))</f>
        <v/>
      </c>
      <c r="R15" s="24">
        <f>IF($D15="",0,IF(Settings!$D$15=0,0,MAX(1,ROUND(Settings!$D$15*Settings!$C$5*($D15/Settings!$C$6)^Settings!$E$15*IF(Settings!$C$15="Lara",$E15/$F15,1),0))))</f>
        <v/>
      </c>
      <c r="S15" s="25">
        <f>IF(Q15=0,0,IF(R15=0,Q15,WORKDAY(Q15,1+Settings!$C$7,Settings!$J$4:$J$23)))</f>
        <v/>
      </c>
      <c r="T15" s="25">
        <f>IF(S15=0,0,IF(R15=0,S15,WORKDAY(S15,R15-1,Settings!$J$4:$J$23)))</f>
        <v/>
      </c>
      <c r="U15" s="24">
        <f>IF($D15="",0,IF(Settings!$D$16=0,0,MAX(1,ROUND(Settings!$D$16*Settings!$C$5*($D15/Settings!$C$6)^Settings!$E$16*IF(Settings!$C$16="Lara",$E15/$F15,1),0))))</f>
        <v/>
      </c>
      <c r="V15" s="25">
        <f>IF(T15=0,0,IF(U15=0,T15,WORKDAY(T15,1+Settings!$C$7,Settings!$J$4:$J$23)))</f>
        <v/>
      </c>
      <c r="W15" s="25">
        <f>IF(V15=0,0,IF(U15=0,V15,WORKDAY(V15,U15-1,Settings!$J$4:$J$23)))</f>
        <v/>
      </c>
      <c r="X15" s="24">
        <f>IF($D15="",0,IF(Settings!$D$17=0,0,MAX(1,ROUND(Settings!$D$17*Settings!$C$5*($D15/Settings!$C$6)^Settings!$E$17*IF(Settings!$C$17="Lara",$E15/$F15,1),0))))</f>
        <v/>
      </c>
      <c r="Y15" s="25">
        <f>IF(W15=0,0,IF(X15=0,W15,WORKDAY(W15,1+Settings!$C$7,Settings!$J$4:$J$23)))</f>
        <v/>
      </c>
      <c r="Z15" s="25">
        <f>IF(Y15=0,0,IF(X15=0,Y15,WORKDAY(Y15,X15-1,Settings!$J$4:$J$23)))</f>
        <v/>
      </c>
      <c r="AA15" s="24">
        <f>IF($D15="",0,IF(Settings!$D$18=0,0,MAX(1,ROUND(Settings!$D$18*Settings!$C$5*($D15/Settings!$C$6)^Settings!$E$18*IF(Settings!$C$18="Lara",$E15/$F15,1),0))))</f>
        <v/>
      </c>
      <c r="AB15" s="25">
        <f>IF(Z15=0,0,IF(AA15=0,Z15,WORKDAY(Z15,1+Settings!$C$7,Settings!$J$4:$J$23)))</f>
        <v/>
      </c>
      <c r="AC15" s="25">
        <f>IF(AB15=0,0,IF(AA15=0,AB15,WORKDAY(AB15,AA15-1,Settings!$J$4:$J$23)))</f>
        <v/>
      </c>
      <c r="AD15" s="24">
        <f>IF($D15="",0,IF(Settings!$D$19=0,0,MAX(1,ROUND(Settings!$D$19*Settings!$C$5*($D15/Settings!$C$6)^Settings!$E$19*IF(Settings!$C$19="Lara",$E15/$F15,1),0))))</f>
        <v/>
      </c>
      <c r="AE15" s="25">
        <f>IF(AC15=0,0,IF(AD15=0,AC15,WORKDAY(AC15,1+Settings!$C$7,Settings!$J$4:$J$23)))</f>
        <v/>
      </c>
      <c r="AF15" s="25">
        <f>IF(AE15=0,0,IF(AD15=0,AE15,WORKDAY(AE15,AD15-1,Settings!$J$4:$J$23)))</f>
        <v/>
      </c>
      <c r="AG15" s="25">
        <f>AF15</f>
        <v/>
      </c>
      <c r="AH15" s="24">
        <f>IF($D15="",0,(I15*(Settings!$C$12="Lara")+L15*(Settings!$C$13="Lara")+O15*(Settings!$C$14="Lara")+R15*(Settings!$C$15="Lara")+U15*(Settings!$C$16="Lara")+X15*(Settings!$C$17="Lara")+AA15*(Settings!$C$18="Lara")+AD15*(Settings!$C$19="Lara"))*$F15*Settings!$C$4)</f>
        <v/>
      </c>
      <c r="AI15" s="20" t="n"/>
      <c r="AK15" s="26" t="n"/>
      <c r="AL15" s="26" t="n"/>
      <c r="AM15" s="26" t="n"/>
      <c r="AN15" s="26" t="n"/>
      <c r="AO15" s="26" t="n"/>
      <c r="AP15" s="26" t="n"/>
      <c r="AQ15" s="26" t="n"/>
      <c r="AR15" s="26" t="n"/>
      <c r="AS15" s="26" t="n"/>
      <c r="AT15" s="26" t="n"/>
      <c r="AU15" s="26" t="n"/>
      <c r="AV15" s="26" t="n"/>
      <c r="AW15" s="26" t="n"/>
      <c r="AX15" s="26" t="n"/>
      <c r="AY15" s="26" t="n"/>
      <c r="AZ15" s="26" t="n"/>
      <c r="BA15" s="26" t="n"/>
      <c r="BB15" s="26" t="n"/>
      <c r="BC15" s="26" t="n"/>
      <c r="BD15" s="26" t="n"/>
      <c r="BE15" s="26" t="n"/>
      <c r="BF15" s="26" t="n"/>
      <c r="BG15" s="26" t="n"/>
      <c r="BH15" s="26" t="n"/>
      <c r="BI15" s="26" t="n"/>
      <c r="BJ15" s="26" t="n"/>
      <c r="BK15" s="26" t="n"/>
      <c r="BL15" s="26" t="n"/>
      <c r="BM15" s="26" t="n"/>
      <c r="BN15" s="26" t="n"/>
      <c r="BO15" s="26" t="n"/>
      <c r="BP15" s="26" t="n"/>
      <c r="BQ15" s="26" t="n"/>
      <c r="BR15" s="26" t="n"/>
      <c r="BS15" s="26" t="n"/>
      <c r="BT15" s="26" t="n"/>
      <c r="BU15" s="26" t="n"/>
      <c r="BV15" s="26" t="n"/>
      <c r="BW15" s="26" t="n"/>
      <c r="BX15" s="26" t="n"/>
      <c r="BY15" s="26" t="n"/>
      <c r="BZ15" s="26" t="n"/>
      <c r="CA15" s="26" t="n"/>
      <c r="CB15" s="26" t="n"/>
      <c r="CC15" s="26" t="n"/>
      <c r="CD15" s="26" t="n"/>
      <c r="CE15" s="26" t="n"/>
      <c r="CF15" s="26" t="n"/>
      <c r="CG15" s="26" t="n"/>
      <c r="CH15" s="26" t="n"/>
      <c r="CI15" s="26" t="n"/>
      <c r="CJ15" s="26" t="n"/>
      <c r="CK15" s="26" t="n"/>
      <c r="CL15" s="26" t="n"/>
      <c r="CM15" s="26" t="n"/>
      <c r="CN15" s="26" t="n"/>
      <c r="CO15" s="26" t="n"/>
      <c r="CP15" s="26" t="n"/>
      <c r="CQ15" s="26" t="n"/>
      <c r="CR15" s="26" t="n"/>
    </row>
    <row r="16">
      <c r="A16" s="19" t="n">
        <v>12</v>
      </c>
      <c r="B16" s="20" t="n"/>
      <c r="C16" s="20" t="n"/>
      <c r="D16" s="5" t="n"/>
      <c r="E16" s="21" t="n"/>
      <c r="F16" s="22" t="n"/>
      <c r="G16" s="23" t="n"/>
      <c r="H16" s="5" t="n"/>
      <c r="I16" s="24">
        <f>IF($D16="",0,IF(Settings!$D$12=0,0,MAX(1,ROUND(Settings!$D$12*Settings!$C$5*($D16/Settings!$C$6)^Settings!$E$12*IF(Settings!$C$12="Lara",$E16/$F16,1),0))))</f>
        <v/>
      </c>
      <c r="J16" s="25">
        <f>IF($G16="",0,WORKDAY($G16-1,1,Settings!$J$4:$J$23))</f>
        <v/>
      </c>
      <c r="K16" s="25">
        <f>IF(J16=0,0,IF(I16=0,J16,WORKDAY(J16,I16-1,Settings!$J$4:$J$23)))</f>
        <v/>
      </c>
      <c r="L16" s="24">
        <f>IF($D16="",0,IF(Settings!$D$13=0,0,MAX(1,ROUND(Settings!$D$13*Settings!$C$5*($D16/Settings!$C$6)^Settings!$E$13*IF(Settings!$C$13="Lara",$E16/$F16,1),0))))</f>
        <v/>
      </c>
      <c r="M16" s="25">
        <f>IF(K16=0,0,IF(L16=0,K16,WORKDAY(K16,1+Settings!$C$7,Settings!$J$4:$J$23)))</f>
        <v/>
      </c>
      <c r="N16" s="25">
        <f>IF(M16=0,0,IF(L16=0,M16,WORKDAY(M16,L16-1,Settings!$J$4:$J$23)))</f>
        <v/>
      </c>
      <c r="O16" s="24">
        <f>IF($D16="",0,IF(Settings!$D$14=0,0,MAX(1,ROUND(Settings!$D$14*Settings!$C$5*($D16/Settings!$C$6)^Settings!$E$14*IF(Settings!$C$14="Lara",$E16/$F16,1),0))))</f>
        <v/>
      </c>
      <c r="P16" s="25">
        <f>IF(N16=0,0,IF(O16=0,N16,WORKDAY(N16,1+Settings!$C$7,Settings!$J$4:$J$23)))</f>
        <v/>
      </c>
      <c r="Q16" s="25">
        <f>IF(P16=0,0,IF(O16=0,P16,WORKDAY(P16,O16-1,Settings!$J$4:$J$23)))</f>
        <v/>
      </c>
      <c r="R16" s="24">
        <f>IF($D16="",0,IF(Settings!$D$15=0,0,MAX(1,ROUND(Settings!$D$15*Settings!$C$5*($D16/Settings!$C$6)^Settings!$E$15*IF(Settings!$C$15="Lara",$E16/$F16,1),0))))</f>
        <v/>
      </c>
      <c r="S16" s="25">
        <f>IF(Q16=0,0,IF(R16=0,Q16,WORKDAY(Q16,1+Settings!$C$7,Settings!$J$4:$J$23)))</f>
        <v/>
      </c>
      <c r="T16" s="25">
        <f>IF(S16=0,0,IF(R16=0,S16,WORKDAY(S16,R16-1,Settings!$J$4:$J$23)))</f>
        <v/>
      </c>
      <c r="U16" s="24">
        <f>IF($D16="",0,IF(Settings!$D$16=0,0,MAX(1,ROUND(Settings!$D$16*Settings!$C$5*($D16/Settings!$C$6)^Settings!$E$16*IF(Settings!$C$16="Lara",$E16/$F16,1),0))))</f>
        <v/>
      </c>
      <c r="V16" s="25">
        <f>IF(T16=0,0,IF(U16=0,T16,WORKDAY(T16,1+Settings!$C$7,Settings!$J$4:$J$23)))</f>
        <v/>
      </c>
      <c r="W16" s="25">
        <f>IF(V16=0,0,IF(U16=0,V16,WORKDAY(V16,U16-1,Settings!$J$4:$J$23)))</f>
        <v/>
      </c>
      <c r="X16" s="24">
        <f>IF($D16="",0,IF(Settings!$D$17=0,0,MAX(1,ROUND(Settings!$D$17*Settings!$C$5*($D16/Settings!$C$6)^Settings!$E$17*IF(Settings!$C$17="Lara",$E16/$F16,1),0))))</f>
        <v/>
      </c>
      <c r="Y16" s="25">
        <f>IF(W16=0,0,IF(X16=0,W16,WORKDAY(W16,1+Settings!$C$7,Settings!$J$4:$J$23)))</f>
        <v/>
      </c>
      <c r="Z16" s="25">
        <f>IF(Y16=0,0,IF(X16=0,Y16,WORKDAY(Y16,X16-1,Settings!$J$4:$J$23)))</f>
        <v/>
      </c>
      <c r="AA16" s="24">
        <f>IF($D16="",0,IF(Settings!$D$18=0,0,MAX(1,ROUND(Settings!$D$18*Settings!$C$5*($D16/Settings!$C$6)^Settings!$E$18*IF(Settings!$C$18="Lara",$E16/$F16,1),0))))</f>
        <v/>
      </c>
      <c r="AB16" s="25">
        <f>IF(Z16=0,0,IF(AA16=0,Z16,WORKDAY(Z16,1+Settings!$C$7,Settings!$J$4:$J$23)))</f>
        <v/>
      </c>
      <c r="AC16" s="25">
        <f>IF(AB16=0,0,IF(AA16=0,AB16,WORKDAY(AB16,AA16-1,Settings!$J$4:$J$23)))</f>
        <v/>
      </c>
      <c r="AD16" s="24">
        <f>IF($D16="",0,IF(Settings!$D$19=0,0,MAX(1,ROUND(Settings!$D$19*Settings!$C$5*($D16/Settings!$C$6)^Settings!$E$19*IF(Settings!$C$19="Lara",$E16/$F16,1),0))))</f>
        <v/>
      </c>
      <c r="AE16" s="25">
        <f>IF(AC16=0,0,IF(AD16=0,AC16,WORKDAY(AC16,1+Settings!$C$7,Settings!$J$4:$J$23)))</f>
        <v/>
      </c>
      <c r="AF16" s="25">
        <f>IF(AE16=0,0,IF(AD16=0,AE16,WORKDAY(AE16,AD16-1,Settings!$J$4:$J$23)))</f>
        <v/>
      </c>
      <c r="AG16" s="25">
        <f>AF16</f>
        <v/>
      </c>
      <c r="AH16" s="24">
        <f>IF($D16="",0,(I16*(Settings!$C$12="Lara")+L16*(Settings!$C$13="Lara")+O16*(Settings!$C$14="Lara")+R16*(Settings!$C$15="Lara")+U16*(Settings!$C$16="Lara")+X16*(Settings!$C$17="Lara")+AA16*(Settings!$C$18="Lara")+AD16*(Settings!$C$19="Lara"))*$F16*Settings!$C$4)</f>
        <v/>
      </c>
      <c r="AI16" s="20" t="n"/>
      <c r="AK16" s="26" t="n"/>
      <c r="AL16" s="26" t="n"/>
      <c r="AM16" s="26" t="n"/>
      <c r="AN16" s="26" t="n"/>
      <c r="AO16" s="26" t="n"/>
      <c r="AP16" s="26" t="n"/>
      <c r="AQ16" s="26" t="n"/>
      <c r="AR16" s="26" t="n"/>
      <c r="AS16" s="26" t="n"/>
      <c r="AT16" s="26" t="n"/>
      <c r="AU16" s="26" t="n"/>
      <c r="AV16" s="26" t="n"/>
      <c r="AW16" s="26" t="n"/>
      <c r="AX16" s="26" t="n"/>
      <c r="AY16" s="26" t="n"/>
      <c r="AZ16" s="26" t="n"/>
      <c r="BA16" s="26" t="n"/>
      <c r="BB16" s="26" t="n"/>
      <c r="BC16" s="26" t="n"/>
      <c r="BD16" s="26" t="n"/>
      <c r="BE16" s="26" t="n"/>
      <c r="BF16" s="26" t="n"/>
      <c r="BG16" s="26" t="n"/>
      <c r="BH16" s="26" t="n"/>
      <c r="BI16" s="26" t="n"/>
      <c r="BJ16" s="26" t="n"/>
      <c r="BK16" s="26" t="n"/>
      <c r="BL16" s="26" t="n"/>
      <c r="BM16" s="26" t="n"/>
      <c r="BN16" s="26" t="n"/>
      <c r="BO16" s="26" t="n"/>
      <c r="BP16" s="26" t="n"/>
      <c r="BQ16" s="26" t="n"/>
      <c r="BR16" s="26" t="n"/>
      <c r="BS16" s="26" t="n"/>
      <c r="BT16" s="26" t="n"/>
      <c r="BU16" s="26" t="n"/>
      <c r="BV16" s="26" t="n"/>
      <c r="BW16" s="26" t="n"/>
      <c r="BX16" s="26" t="n"/>
      <c r="BY16" s="26" t="n"/>
      <c r="BZ16" s="26" t="n"/>
      <c r="CA16" s="26" t="n"/>
      <c r="CB16" s="26" t="n"/>
      <c r="CC16" s="26" t="n"/>
      <c r="CD16" s="26" t="n"/>
      <c r="CE16" s="26" t="n"/>
      <c r="CF16" s="26" t="n"/>
      <c r="CG16" s="26" t="n"/>
      <c r="CH16" s="26" t="n"/>
      <c r="CI16" s="26" t="n"/>
      <c r="CJ16" s="26" t="n"/>
      <c r="CK16" s="26" t="n"/>
      <c r="CL16" s="26" t="n"/>
      <c r="CM16" s="26" t="n"/>
      <c r="CN16" s="26" t="n"/>
      <c r="CO16" s="26" t="n"/>
      <c r="CP16" s="26" t="n"/>
      <c r="CQ16" s="26" t="n"/>
      <c r="CR16" s="26" t="n"/>
    </row>
    <row r="17">
      <c r="A17" s="19" t="n">
        <v>13</v>
      </c>
      <c r="B17" s="20" t="n"/>
      <c r="C17" s="20" t="n"/>
      <c r="D17" s="5" t="n"/>
      <c r="E17" s="21" t="n"/>
      <c r="F17" s="22" t="n"/>
      <c r="G17" s="23" t="n"/>
      <c r="H17" s="5" t="n"/>
      <c r="I17" s="24">
        <f>IF($D17="",0,IF(Settings!$D$12=0,0,MAX(1,ROUND(Settings!$D$12*Settings!$C$5*($D17/Settings!$C$6)^Settings!$E$12*IF(Settings!$C$12="Lara",$E17/$F17,1),0))))</f>
        <v/>
      </c>
      <c r="J17" s="25">
        <f>IF($G17="",0,WORKDAY($G17-1,1,Settings!$J$4:$J$23))</f>
        <v/>
      </c>
      <c r="K17" s="25">
        <f>IF(J17=0,0,IF(I17=0,J17,WORKDAY(J17,I17-1,Settings!$J$4:$J$23)))</f>
        <v/>
      </c>
      <c r="L17" s="24">
        <f>IF($D17="",0,IF(Settings!$D$13=0,0,MAX(1,ROUND(Settings!$D$13*Settings!$C$5*($D17/Settings!$C$6)^Settings!$E$13*IF(Settings!$C$13="Lara",$E17/$F17,1),0))))</f>
        <v/>
      </c>
      <c r="M17" s="25">
        <f>IF(K17=0,0,IF(L17=0,K17,WORKDAY(K17,1+Settings!$C$7,Settings!$J$4:$J$23)))</f>
        <v/>
      </c>
      <c r="N17" s="25">
        <f>IF(M17=0,0,IF(L17=0,M17,WORKDAY(M17,L17-1,Settings!$J$4:$J$23)))</f>
        <v/>
      </c>
      <c r="O17" s="24">
        <f>IF($D17="",0,IF(Settings!$D$14=0,0,MAX(1,ROUND(Settings!$D$14*Settings!$C$5*($D17/Settings!$C$6)^Settings!$E$14*IF(Settings!$C$14="Lara",$E17/$F17,1),0))))</f>
        <v/>
      </c>
      <c r="P17" s="25">
        <f>IF(N17=0,0,IF(O17=0,N17,WORKDAY(N17,1+Settings!$C$7,Settings!$J$4:$J$23)))</f>
        <v/>
      </c>
      <c r="Q17" s="25">
        <f>IF(P17=0,0,IF(O17=0,P17,WORKDAY(P17,O17-1,Settings!$J$4:$J$23)))</f>
        <v/>
      </c>
      <c r="R17" s="24">
        <f>IF($D17="",0,IF(Settings!$D$15=0,0,MAX(1,ROUND(Settings!$D$15*Settings!$C$5*($D17/Settings!$C$6)^Settings!$E$15*IF(Settings!$C$15="Lara",$E17/$F17,1),0))))</f>
        <v/>
      </c>
      <c r="S17" s="25">
        <f>IF(Q17=0,0,IF(R17=0,Q17,WORKDAY(Q17,1+Settings!$C$7,Settings!$J$4:$J$23)))</f>
        <v/>
      </c>
      <c r="T17" s="25">
        <f>IF(S17=0,0,IF(R17=0,S17,WORKDAY(S17,R17-1,Settings!$J$4:$J$23)))</f>
        <v/>
      </c>
      <c r="U17" s="24">
        <f>IF($D17="",0,IF(Settings!$D$16=0,0,MAX(1,ROUND(Settings!$D$16*Settings!$C$5*($D17/Settings!$C$6)^Settings!$E$16*IF(Settings!$C$16="Lara",$E17/$F17,1),0))))</f>
        <v/>
      </c>
      <c r="V17" s="25">
        <f>IF(T17=0,0,IF(U17=0,T17,WORKDAY(T17,1+Settings!$C$7,Settings!$J$4:$J$23)))</f>
        <v/>
      </c>
      <c r="W17" s="25">
        <f>IF(V17=0,0,IF(U17=0,V17,WORKDAY(V17,U17-1,Settings!$J$4:$J$23)))</f>
        <v/>
      </c>
      <c r="X17" s="24">
        <f>IF($D17="",0,IF(Settings!$D$17=0,0,MAX(1,ROUND(Settings!$D$17*Settings!$C$5*($D17/Settings!$C$6)^Settings!$E$17*IF(Settings!$C$17="Lara",$E17/$F17,1),0))))</f>
        <v/>
      </c>
      <c r="Y17" s="25">
        <f>IF(W17=0,0,IF(X17=0,W17,WORKDAY(W17,1+Settings!$C$7,Settings!$J$4:$J$23)))</f>
        <v/>
      </c>
      <c r="Z17" s="25">
        <f>IF(Y17=0,0,IF(X17=0,Y17,WORKDAY(Y17,X17-1,Settings!$J$4:$J$23)))</f>
        <v/>
      </c>
      <c r="AA17" s="24">
        <f>IF($D17="",0,IF(Settings!$D$18=0,0,MAX(1,ROUND(Settings!$D$18*Settings!$C$5*($D17/Settings!$C$6)^Settings!$E$18*IF(Settings!$C$18="Lara",$E17/$F17,1),0))))</f>
        <v/>
      </c>
      <c r="AB17" s="25">
        <f>IF(Z17=0,0,IF(AA17=0,Z17,WORKDAY(Z17,1+Settings!$C$7,Settings!$J$4:$J$23)))</f>
        <v/>
      </c>
      <c r="AC17" s="25">
        <f>IF(AB17=0,0,IF(AA17=0,AB17,WORKDAY(AB17,AA17-1,Settings!$J$4:$J$23)))</f>
        <v/>
      </c>
      <c r="AD17" s="24">
        <f>IF($D17="",0,IF(Settings!$D$19=0,0,MAX(1,ROUND(Settings!$D$19*Settings!$C$5*($D17/Settings!$C$6)^Settings!$E$19*IF(Settings!$C$19="Lara",$E17/$F17,1),0))))</f>
        <v/>
      </c>
      <c r="AE17" s="25">
        <f>IF(AC17=0,0,IF(AD17=0,AC17,WORKDAY(AC17,1+Settings!$C$7,Settings!$J$4:$J$23)))</f>
        <v/>
      </c>
      <c r="AF17" s="25">
        <f>IF(AE17=0,0,IF(AD17=0,AE17,WORKDAY(AE17,AD17-1,Settings!$J$4:$J$23)))</f>
        <v/>
      </c>
      <c r="AG17" s="25">
        <f>AF17</f>
        <v/>
      </c>
      <c r="AH17" s="24">
        <f>IF($D17="",0,(I17*(Settings!$C$12="Lara")+L17*(Settings!$C$13="Lara")+O17*(Settings!$C$14="Lara")+R17*(Settings!$C$15="Lara")+U17*(Settings!$C$16="Lara")+X17*(Settings!$C$17="Lara")+AA17*(Settings!$C$18="Lara")+AD17*(Settings!$C$19="Lara"))*$F17*Settings!$C$4)</f>
        <v/>
      </c>
      <c r="AI17" s="20"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c r="BD17" s="26" t="n"/>
      <c r="BE17" s="26" t="n"/>
      <c r="BF17" s="26" t="n"/>
      <c r="BG17" s="26" t="n"/>
      <c r="BH17" s="26" t="n"/>
      <c r="BI17" s="26" t="n"/>
      <c r="BJ17" s="26" t="n"/>
      <c r="BK17" s="26" t="n"/>
      <c r="BL17" s="26" t="n"/>
      <c r="BM17" s="26" t="n"/>
      <c r="BN17" s="26" t="n"/>
      <c r="BO17" s="26" t="n"/>
      <c r="BP17" s="26" t="n"/>
      <c r="BQ17" s="26" t="n"/>
      <c r="BR17" s="26" t="n"/>
      <c r="BS17" s="26" t="n"/>
      <c r="BT17" s="26" t="n"/>
      <c r="BU17" s="26" t="n"/>
      <c r="BV17" s="26" t="n"/>
      <c r="BW17" s="26" t="n"/>
      <c r="BX17" s="26" t="n"/>
      <c r="BY17" s="26" t="n"/>
      <c r="BZ17" s="26" t="n"/>
      <c r="CA17" s="26" t="n"/>
      <c r="CB17" s="26" t="n"/>
      <c r="CC17" s="26" t="n"/>
      <c r="CD17" s="26" t="n"/>
      <c r="CE17" s="26" t="n"/>
      <c r="CF17" s="26" t="n"/>
      <c r="CG17" s="26" t="n"/>
      <c r="CH17" s="26" t="n"/>
      <c r="CI17" s="26" t="n"/>
      <c r="CJ17" s="26" t="n"/>
      <c r="CK17" s="26" t="n"/>
      <c r="CL17" s="26" t="n"/>
      <c r="CM17" s="26" t="n"/>
      <c r="CN17" s="26" t="n"/>
      <c r="CO17" s="26" t="n"/>
      <c r="CP17" s="26" t="n"/>
      <c r="CQ17" s="26" t="n"/>
      <c r="CR17" s="26" t="n"/>
    </row>
    <row r="18">
      <c r="A18" s="19" t="n">
        <v>14</v>
      </c>
      <c r="B18" s="20" t="n"/>
      <c r="C18" s="20" t="n"/>
      <c r="D18" s="5" t="n"/>
      <c r="E18" s="21" t="n"/>
      <c r="F18" s="22" t="n"/>
      <c r="G18" s="23" t="n"/>
      <c r="H18" s="5" t="n"/>
      <c r="I18" s="24">
        <f>IF($D18="",0,IF(Settings!$D$12=0,0,MAX(1,ROUND(Settings!$D$12*Settings!$C$5*($D18/Settings!$C$6)^Settings!$E$12*IF(Settings!$C$12="Lara",$E18/$F18,1),0))))</f>
        <v/>
      </c>
      <c r="J18" s="25">
        <f>IF($G18="",0,WORKDAY($G18-1,1,Settings!$J$4:$J$23))</f>
        <v/>
      </c>
      <c r="K18" s="25">
        <f>IF(J18=0,0,IF(I18=0,J18,WORKDAY(J18,I18-1,Settings!$J$4:$J$23)))</f>
        <v/>
      </c>
      <c r="L18" s="24">
        <f>IF($D18="",0,IF(Settings!$D$13=0,0,MAX(1,ROUND(Settings!$D$13*Settings!$C$5*($D18/Settings!$C$6)^Settings!$E$13*IF(Settings!$C$13="Lara",$E18/$F18,1),0))))</f>
        <v/>
      </c>
      <c r="M18" s="25">
        <f>IF(K18=0,0,IF(L18=0,K18,WORKDAY(K18,1+Settings!$C$7,Settings!$J$4:$J$23)))</f>
        <v/>
      </c>
      <c r="N18" s="25">
        <f>IF(M18=0,0,IF(L18=0,M18,WORKDAY(M18,L18-1,Settings!$J$4:$J$23)))</f>
        <v/>
      </c>
      <c r="O18" s="24">
        <f>IF($D18="",0,IF(Settings!$D$14=0,0,MAX(1,ROUND(Settings!$D$14*Settings!$C$5*($D18/Settings!$C$6)^Settings!$E$14*IF(Settings!$C$14="Lara",$E18/$F18,1),0))))</f>
        <v/>
      </c>
      <c r="P18" s="25">
        <f>IF(N18=0,0,IF(O18=0,N18,WORKDAY(N18,1+Settings!$C$7,Settings!$J$4:$J$23)))</f>
        <v/>
      </c>
      <c r="Q18" s="25">
        <f>IF(P18=0,0,IF(O18=0,P18,WORKDAY(P18,O18-1,Settings!$J$4:$J$23)))</f>
        <v/>
      </c>
      <c r="R18" s="24">
        <f>IF($D18="",0,IF(Settings!$D$15=0,0,MAX(1,ROUND(Settings!$D$15*Settings!$C$5*($D18/Settings!$C$6)^Settings!$E$15*IF(Settings!$C$15="Lara",$E18/$F18,1),0))))</f>
        <v/>
      </c>
      <c r="S18" s="25">
        <f>IF(Q18=0,0,IF(R18=0,Q18,WORKDAY(Q18,1+Settings!$C$7,Settings!$J$4:$J$23)))</f>
        <v/>
      </c>
      <c r="T18" s="25">
        <f>IF(S18=0,0,IF(R18=0,S18,WORKDAY(S18,R18-1,Settings!$J$4:$J$23)))</f>
        <v/>
      </c>
      <c r="U18" s="24">
        <f>IF($D18="",0,IF(Settings!$D$16=0,0,MAX(1,ROUND(Settings!$D$16*Settings!$C$5*($D18/Settings!$C$6)^Settings!$E$16*IF(Settings!$C$16="Lara",$E18/$F18,1),0))))</f>
        <v/>
      </c>
      <c r="V18" s="25">
        <f>IF(T18=0,0,IF(U18=0,T18,WORKDAY(T18,1+Settings!$C$7,Settings!$J$4:$J$23)))</f>
        <v/>
      </c>
      <c r="W18" s="25">
        <f>IF(V18=0,0,IF(U18=0,V18,WORKDAY(V18,U18-1,Settings!$J$4:$J$23)))</f>
        <v/>
      </c>
      <c r="X18" s="24">
        <f>IF($D18="",0,IF(Settings!$D$17=0,0,MAX(1,ROUND(Settings!$D$17*Settings!$C$5*($D18/Settings!$C$6)^Settings!$E$17*IF(Settings!$C$17="Lara",$E18/$F18,1),0))))</f>
        <v/>
      </c>
      <c r="Y18" s="25">
        <f>IF(W18=0,0,IF(X18=0,W18,WORKDAY(W18,1+Settings!$C$7,Settings!$J$4:$J$23)))</f>
        <v/>
      </c>
      <c r="Z18" s="25">
        <f>IF(Y18=0,0,IF(X18=0,Y18,WORKDAY(Y18,X18-1,Settings!$J$4:$J$23)))</f>
        <v/>
      </c>
      <c r="AA18" s="24">
        <f>IF($D18="",0,IF(Settings!$D$18=0,0,MAX(1,ROUND(Settings!$D$18*Settings!$C$5*($D18/Settings!$C$6)^Settings!$E$18*IF(Settings!$C$18="Lara",$E18/$F18,1),0))))</f>
        <v/>
      </c>
      <c r="AB18" s="25">
        <f>IF(Z18=0,0,IF(AA18=0,Z18,WORKDAY(Z18,1+Settings!$C$7,Settings!$J$4:$J$23)))</f>
        <v/>
      </c>
      <c r="AC18" s="25">
        <f>IF(AB18=0,0,IF(AA18=0,AB18,WORKDAY(AB18,AA18-1,Settings!$J$4:$J$23)))</f>
        <v/>
      </c>
      <c r="AD18" s="24">
        <f>IF($D18="",0,IF(Settings!$D$19=0,0,MAX(1,ROUND(Settings!$D$19*Settings!$C$5*($D18/Settings!$C$6)^Settings!$E$19*IF(Settings!$C$19="Lara",$E18/$F18,1),0))))</f>
        <v/>
      </c>
      <c r="AE18" s="25">
        <f>IF(AC18=0,0,IF(AD18=0,AC18,WORKDAY(AC18,1+Settings!$C$7,Settings!$J$4:$J$23)))</f>
        <v/>
      </c>
      <c r="AF18" s="25">
        <f>IF(AE18=0,0,IF(AD18=0,AE18,WORKDAY(AE18,AD18-1,Settings!$J$4:$J$23)))</f>
        <v/>
      </c>
      <c r="AG18" s="25">
        <f>AF18</f>
        <v/>
      </c>
      <c r="AH18" s="24">
        <f>IF($D18="",0,(I18*(Settings!$C$12="Lara")+L18*(Settings!$C$13="Lara")+O18*(Settings!$C$14="Lara")+R18*(Settings!$C$15="Lara")+U18*(Settings!$C$16="Lara")+X18*(Settings!$C$17="Lara")+AA18*(Settings!$C$18="Lara")+AD18*(Settings!$C$19="Lara"))*$F18*Settings!$C$4)</f>
        <v/>
      </c>
      <c r="AI18" s="20" t="n"/>
      <c r="AK18" s="26" t="n"/>
      <c r="AL18" s="26" t="n"/>
      <c r="AM18" s="26" t="n"/>
      <c r="AN18" s="26" t="n"/>
      <c r="AO18" s="26" t="n"/>
      <c r="AP18" s="26" t="n"/>
      <c r="AQ18" s="26" t="n"/>
      <c r="AR18" s="26" t="n"/>
      <c r="AS18" s="26" t="n"/>
      <c r="AT18" s="26" t="n"/>
      <c r="AU18" s="26" t="n"/>
      <c r="AV18" s="26" t="n"/>
      <c r="AW18" s="26" t="n"/>
      <c r="AX18" s="26" t="n"/>
      <c r="AY18" s="26" t="n"/>
      <c r="AZ18" s="26" t="n"/>
      <c r="BA18" s="26" t="n"/>
      <c r="BB18" s="26" t="n"/>
      <c r="BC18" s="26" t="n"/>
      <c r="BD18" s="26" t="n"/>
      <c r="BE18" s="26" t="n"/>
      <c r="BF18" s="26" t="n"/>
      <c r="BG18" s="26" t="n"/>
      <c r="BH18" s="26" t="n"/>
      <c r="BI18" s="26" t="n"/>
      <c r="BJ18" s="26" t="n"/>
      <c r="BK18" s="26" t="n"/>
      <c r="BL18" s="26" t="n"/>
      <c r="BM18" s="26" t="n"/>
      <c r="BN18" s="26" t="n"/>
      <c r="BO18" s="26" t="n"/>
      <c r="BP18" s="26" t="n"/>
      <c r="BQ18" s="26" t="n"/>
      <c r="BR18" s="26" t="n"/>
      <c r="BS18" s="26" t="n"/>
      <c r="BT18" s="26" t="n"/>
      <c r="BU18" s="26" t="n"/>
      <c r="BV18" s="26" t="n"/>
      <c r="BW18" s="26" t="n"/>
      <c r="BX18" s="26" t="n"/>
      <c r="BY18" s="26" t="n"/>
      <c r="BZ18" s="26" t="n"/>
      <c r="CA18" s="26" t="n"/>
      <c r="CB18" s="26" t="n"/>
      <c r="CC18" s="26" t="n"/>
      <c r="CD18" s="26" t="n"/>
      <c r="CE18" s="26" t="n"/>
      <c r="CF18" s="26" t="n"/>
      <c r="CG18" s="26" t="n"/>
      <c r="CH18" s="26" t="n"/>
      <c r="CI18" s="26" t="n"/>
      <c r="CJ18" s="26" t="n"/>
      <c r="CK18" s="26" t="n"/>
      <c r="CL18" s="26" t="n"/>
      <c r="CM18" s="26" t="n"/>
      <c r="CN18" s="26" t="n"/>
      <c r="CO18" s="26" t="n"/>
      <c r="CP18" s="26" t="n"/>
      <c r="CQ18" s="26" t="n"/>
      <c r="CR18" s="26" t="n"/>
    </row>
    <row r="19">
      <c r="A19" s="19" t="n">
        <v>15</v>
      </c>
      <c r="B19" s="20" t="n"/>
      <c r="C19" s="20" t="n"/>
      <c r="D19" s="5" t="n"/>
      <c r="E19" s="21" t="n"/>
      <c r="F19" s="22" t="n"/>
      <c r="G19" s="23" t="n"/>
      <c r="H19" s="5" t="n"/>
      <c r="I19" s="24">
        <f>IF($D19="",0,IF(Settings!$D$12=0,0,MAX(1,ROUND(Settings!$D$12*Settings!$C$5*($D19/Settings!$C$6)^Settings!$E$12*IF(Settings!$C$12="Lara",$E19/$F19,1),0))))</f>
        <v/>
      </c>
      <c r="J19" s="25">
        <f>IF($G19="",0,WORKDAY($G19-1,1,Settings!$J$4:$J$23))</f>
        <v/>
      </c>
      <c r="K19" s="25">
        <f>IF(J19=0,0,IF(I19=0,J19,WORKDAY(J19,I19-1,Settings!$J$4:$J$23)))</f>
        <v/>
      </c>
      <c r="L19" s="24">
        <f>IF($D19="",0,IF(Settings!$D$13=0,0,MAX(1,ROUND(Settings!$D$13*Settings!$C$5*($D19/Settings!$C$6)^Settings!$E$13*IF(Settings!$C$13="Lara",$E19/$F19,1),0))))</f>
        <v/>
      </c>
      <c r="M19" s="25">
        <f>IF(K19=0,0,IF(L19=0,K19,WORKDAY(K19,1+Settings!$C$7,Settings!$J$4:$J$23)))</f>
        <v/>
      </c>
      <c r="N19" s="25">
        <f>IF(M19=0,0,IF(L19=0,M19,WORKDAY(M19,L19-1,Settings!$J$4:$J$23)))</f>
        <v/>
      </c>
      <c r="O19" s="24">
        <f>IF($D19="",0,IF(Settings!$D$14=0,0,MAX(1,ROUND(Settings!$D$14*Settings!$C$5*($D19/Settings!$C$6)^Settings!$E$14*IF(Settings!$C$14="Lara",$E19/$F19,1),0))))</f>
        <v/>
      </c>
      <c r="P19" s="25">
        <f>IF(N19=0,0,IF(O19=0,N19,WORKDAY(N19,1+Settings!$C$7,Settings!$J$4:$J$23)))</f>
        <v/>
      </c>
      <c r="Q19" s="25">
        <f>IF(P19=0,0,IF(O19=0,P19,WORKDAY(P19,O19-1,Settings!$J$4:$J$23)))</f>
        <v/>
      </c>
      <c r="R19" s="24">
        <f>IF($D19="",0,IF(Settings!$D$15=0,0,MAX(1,ROUND(Settings!$D$15*Settings!$C$5*($D19/Settings!$C$6)^Settings!$E$15*IF(Settings!$C$15="Lara",$E19/$F19,1),0))))</f>
        <v/>
      </c>
      <c r="S19" s="25">
        <f>IF(Q19=0,0,IF(R19=0,Q19,WORKDAY(Q19,1+Settings!$C$7,Settings!$J$4:$J$23)))</f>
        <v/>
      </c>
      <c r="T19" s="25">
        <f>IF(S19=0,0,IF(R19=0,S19,WORKDAY(S19,R19-1,Settings!$J$4:$J$23)))</f>
        <v/>
      </c>
      <c r="U19" s="24">
        <f>IF($D19="",0,IF(Settings!$D$16=0,0,MAX(1,ROUND(Settings!$D$16*Settings!$C$5*($D19/Settings!$C$6)^Settings!$E$16*IF(Settings!$C$16="Lara",$E19/$F19,1),0))))</f>
        <v/>
      </c>
      <c r="V19" s="25">
        <f>IF(T19=0,0,IF(U19=0,T19,WORKDAY(T19,1+Settings!$C$7,Settings!$J$4:$J$23)))</f>
        <v/>
      </c>
      <c r="W19" s="25">
        <f>IF(V19=0,0,IF(U19=0,V19,WORKDAY(V19,U19-1,Settings!$J$4:$J$23)))</f>
        <v/>
      </c>
      <c r="X19" s="24">
        <f>IF($D19="",0,IF(Settings!$D$17=0,0,MAX(1,ROUND(Settings!$D$17*Settings!$C$5*($D19/Settings!$C$6)^Settings!$E$17*IF(Settings!$C$17="Lara",$E19/$F19,1),0))))</f>
        <v/>
      </c>
      <c r="Y19" s="25">
        <f>IF(W19=0,0,IF(X19=0,W19,WORKDAY(W19,1+Settings!$C$7,Settings!$J$4:$J$23)))</f>
        <v/>
      </c>
      <c r="Z19" s="25">
        <f>IF(Y19=0,0,IF(X19=0,Y19,WORKDAY(Y19,X19-1,Settings!$J$4:$J$23)))</f>
        <v/>
      </c>
      <c r="AA19" s="24">
        <f>IF($D19="",0,IF(Settings!$D$18=0,0,MAX(1,ROUND(Settings!$D$18*Settings!$C$5*($D19/Settings!$C$6)^Settings!$E$18*IF(Settings!$C$18="Lara",$E19/$F19,1),0))))</f>
        <v/>
      </c>
      <c r="AB19" s="25">
        <f>IF(Z19=0,0,IF(AA19=0,Z19,WORKDAY(Z19,1+Settings!$C$7,Settings!$J$4:$J$23)))</f>
        <v/>
      </c>
      <c r="AC19" s="25">
        <f>IF(AB19=0,0,IF(AA19=0,AB19,WORKDAY(AB19,AA19-1,Settings!$J$4:$J$23)))</f>
        <v/>
      </c>
      <c r="AD19" s="24">
        <f>IF($D19="",0,IF(Settings!$D$19=0,0,MAX(1,ROUND(Settings!$D$19*Settings!$C$5*($D19/Settings!$C$6)^Settings!$E$19*IF(Settings!$C$19="Lara",$E19/$F19,1),0))))</f>
        <v/>
      </c>
      <c r="AE19" s="25">
        <f>IF(AC19=0,0,IF(AD19=0,AC19,WORKDAY(AC19,1+Settings!$C$7,Settings!$J$4:$J$23)))</f>
        <v/>
      </c>
      <c r="AF19" s="25">
        <f>IF(AE19=0,0,IF(AD19=0,AE19,WORKDAY(AE19,AD19-1,Settings!$J$4:$J$23)))</f>
        <v/>
      </c>
      <c r="AG19" s="25">
        <f>AF19</f>
        <v/>
      </c>
      <c r="AH19" s="24">
        <f>IF($D19="",0,(I19*(Settings!$C$12="Lara")+L19*(Settings!$C$13="Lara")+O19*(Settings!$C$14="Lara")+R19*(Settings!$C$15="Lara")+U19*(Settings!$C$16="Lara")+X19*(Settings!$C$17="Lara")+AA19*(Settings!$C$18="Lara")+AD19*(Settings!$C$19="Lara"))*$F19*Settings!$C$4)</f>
        <v/>
      </c>
      <c r="AI19" s="20" t="n"/>
      <c r="AK19" s="26" t="n"/>
      <c r="AL19" s="26" t="n"/>
      <c r="AM19" s="26" t="n"/>
      <c r="AN19" s="26" t="n"/>
      <c r="AO19" s="26" t="n"/>
      <c r="AP19" s="26" t="n"/>
      <c r="AQ19" s="26" t="n"/>
      <c r="AR19" s="26" t="n"/>
      <c r="AS19" s="26" t="n"/>
      <c r="AT19" s="26" t="n"/>
      <c r="AU19" s="26" t="n"/>
      <c r="AV19" s="26" t="n"/>
      <c r="AW19" s="26" t="n"/>
      <c r="AX19" s="26" t="n"/>
      <c r="AY19" s="26" t="n"/>
      <c r="AZ19" s="26" t="n"/>
      <c r="BA19" s="26" t="n"/>
      <c r="BB19" s="26" t="n"/>
      <c r="BC19" s="26" t="n"/>
      <c r="BD19" s="26" t="n"/>
      <c r="BE19" s="26" t="n"/>
      <c r="BF19" s="26" t="n"/>
      <c r="BG19" s="26" t="n"/>
      <c r="BH19" s="26" t="n"/>
      <c r="BI19" s="26" t="n"/>
      <c r="BJ19" s="26" t="n"/>
      <c r="BK19" s="26" t="n"/>
      <c r="BL19" s="26" t="n"/>
      <c r="BM19" s="26" t="n"/>
      <c r="BN19" s="26" t="n"/>
      <c r="BO19" s="26" t="n"/>
      <c r="BP19" s="26" t="n"/>
      <c r="BQ19" s="26" t="n"/>
      <c r="BR19" s="26" t="n"/>
      <c r="BS19" s="26" t="n"/>
      <c r="BT19" s="26" t="n"/>
      <c r="BU19" s="26" t="n"/>
      <c r="BV19" s="26" t="n"/>
      <c r="BW19" s="26" t="n"/>
      <c r="BX19" s="26" t="n"/>
      <c r="BY19" s="26" t="n"/>
      <c r="BZ19" s="26" t="n"/>
      <c r="CA19" s="26" t="n"/>
      <c r="CB19" s="26" t="n"/>
      <c r="CC19" s="26" t="n"/>
      <c r="CD19" s="26" t="n"/>
      <c r="CE19" s="26" t="n"/>
      <c r="CF19" s="26" t="n"/>
      <c r="CG19" s="26" t="n"/>
      <c r="CH19" s="26" t="n"/>
      <c r="CI19" s="26" t="n"/>
      <c r="CJ19" s="26" t="n"/>
      <c r="CK19" s="26" t="n"/>
      <c r="CL19" s="26" t="n"/>
      <c r="CM19" s="26" t="n"/>
      <c r="CN19" s="26" t="n"/>
      <c r="CO19" s="26" t="n"/>
      <c r="CP19" s="26" t="n"/>
      <c r="CQ19" s="26" t="n"/>
      <c r="CR19" s="26" t="n"/>
    </row>
    <row r="20">
      <c r="A20" s="19" t="n">
        <v>16</v>
      </c>
      <c r="B20" s="20" t="n"/>
      <c r="C20" s="20" t="n"/>
      <c r="D20" s="5" t="n"/>
      <c r="E20" s="21" t="n"/>
      <c r="F20" s="22" t="n"/>
      <c r="G20" s="23" t="n"/>
      <c r="H20" s="5" t="n"/>
      <c r="I20" s="24">
        <f>IF($D20="",0,IF(Settings!$D$12=0,0,MAX(1,ROUND(Settings!$D$12*Settings!$C$5*($D20/Settings!$C$6)^Settings!$E$12*IF(Settings!$C$12="Lara",$E20/$F20,1),0))))</f>
        <v/>
      </c>
      <c r="J20" s="25">
        <f>IF($G20="",0,WORKDAY($G20-1,1,Settings!$J$4:$J$23))</f>
        <v/>
      </c>
      <c r="K20" s="25">
        <f>IF(J20=0,0,IF(I20=0,J20,WORKDAY(J20,I20-1,Settings!$J$4:$J$23)))</f>
        <v/>
      </c>
      <c r="L20" s="24">
        <f>IF($D20="",0,IF(Settings!$D$13=0,0,MAX(1,ROUND(Settings!$D$13*Settings!$C$5*($D20/Settings!$C$6)^Settings!$E$13*IF(Settings!$C$13="Lara",$E20/$F20,1),0))))</f>
        <v/>
      </c>
      <c r="M20" s="25">
        <f>IF(K20=0,0,IF(L20=0,K20,WORKDAY(K20,1+Settings!$C$7,Settings!$J$4:$J$23)))</f>
        <v/>
      </c>
      <c r="N20" s="25">
        <f>IF(M20=0,0,IF(L20=0,M20,WORKDAY(M20,L20-1,Settings!$J$4:$J$23)))</f>
        <v/>
      </c>
      <c r="O20" s="24">
        <f>IF($D20="",0,IF(Settings!$D$14=0,0,MAX(1,ROUND(Settings!$D$14*Settings!$C$5*($D20/Settings!$C$6)^Settings!$E$14*IF(Settings!$C$14="Lara",$E20/$F20,1),0))))</f>
        <v/>
      </c>
      <c r="P20" s="25">
        <f>IF(N20=0,0,IF(O20=0,N20,WORKDAY(N20,1+Settings!$C$7,Settings!$J$4:$J$23)))</f>
        <v/>
      </c>
      <c r="Q20" s="25">
        <f>IF(P20=0,0,IF(O20=0,P20,WORKDAY(P20,O20-1,Settings!$J$4:$J$23)))</f>
        <v/>
      </c>
      <c r="R20" s="24">
        <f>IF($D20="",0,IF(Settings!$D$15=0,0,MAX(1,ROUND(Settings!$D$15*Settings!$C$5*($D20/Settings!$C$6)^Settings!$E$15*IF(Settings!$C$15="Lara",$E20/$F20,1),0))))</f>
        <v/>
      </c>
      <c r="S20" s="25">
        <f>IF(Q20=0,0,IF(R20=0,Q20,WORKDAY(Q20,1+Settings!$C$7,Settings!$J$4:$J$23)))</f>
        <v/>
      </c>
      <c r="T20" s="25">
        <f>IF(S20=0,0,IF(R20=0,S20,WORKDAY(S20,R20-1,Settings!$J$4:$J$23)))</f>
        <v/>
      </c>
      <c r="U20" s="24">
        <f>IF($D20="",0,IF(Settings!$D$16=0,0,MAX(1,ROUND(Settings!$D$16*Settings!$C$5*($D20/Settings!$C$6)^Settings!$E$16*IF(Settings!$C$16="Lara",$E20/$F20,1),0))))</f>
        <v/>
      </c>
      <c r="V20" s="25">
        <f>IF(T20=0,0,IF(U20=0,T20,WORKDAY(T20,1+Settings!$C$7,Settings!$J$4:$J$23)))</f>
        <v/>
      </c>
      <c r="W20" s="25">
        <f>IF(V20=0,0,IF(U20=0,V20,WORKDAY(V20,U20-1,Settings!$J$4:$J$23)))</f>
        <v/>
      </c>
      <c r="X20" s="24">
        <f>IF($D20="",0,IF(Settings!$D$17=0,0,MAX(1,ROUND(Settings!$D$17*Settings!$C$5*($D20/Settings!$C$6)^Settings!$E$17*IF(Settings!$C$17="Lara",$E20/$F20,1),0))))</f>
        <v/>
      </c>
      <c r="Y20" s="25">
        <f>IF(W20=0,0,IF(X20=0,W20,WORKDAY(W20,1+Settings!$C$7,Settings!$J$4:$J$23)))</f>
        <v/>
      </c>
      <c r="Z20" s="25">
        <f>IF(Y20=0,0,IF(X20=0,Y20,WORKDAY(Y20,X20-1,Settings!$J$4:$J$23)))</f>
        <v/>
      </c>
      <c r="AA20" s="24">
        <f>IF($D20="",0,IF(Settings!$D$18=0,0,MAX(1,ROUND(Settings!$D$18*Settings!$C$5*($D20/Settings!$C$6)^Settings!$E$18*IF(Settings!$C$18="Lara",$E20/$F20,1),0))))</f>
        <v/>
      </c>
      <c r="AB20" s="25">
        <f>IF(Z20=0,0,IF(AA20=0,Z20,WORKDAY(Z20,1+Settings!$C$7,Settings!$J$4:$J$23)))</f>
        <v/>
      </c>
      <c r="AC20" s="25">
        <f>IF(AB20=0,0,IF(AA20=0,AB20,WORKDAY(AB20,AA20-1,Settings!$J$4:$J$23)))</f>
        <v/>
      </c>
      <c r="AD20" s="24">
        <f>IF($D20="",0,IF(Settings!$D$19=0,0,MAX(1,ROUND(Settings!$D$19*Settings!$C$5*($D20/Settings!$C$6)^Settings!$E$19*IF(Settings!$C$19="Lara",$E20/$F20,1),0))))</f>
        <v/>
      </c>
      <c r="AE20" s="25">
        <f>IF(AC20=0,0,IF(AD20=0,AC20,WORKDAY(AC20,1+Settings!$C$7,Settings!$J$4:$J$23)))</f>
        <v/>
      </c>
      <c r="AF20" s="25">
        <f>IF(AE20=0,0,IF(AD20=0,AE20,WORKDAY(AE20,AD20-1,Settings!$J$4:$J$23)))</f>
        <v/>
      </c>
      <c r="AG20" s="25">
        <f>AF20</f>
        <v/>
      </c>
      <c r="AH20" s="24">
        <f>IF($D20="",0,(I20*(Settings!$C$12="Lara")+L20*(Settings!$C$13="Lara")+O20*(Settings!$C$14="Lara")+R20*(Settings!$C$15="Lara")+U20*(Settings!$C$16="Lara")+X20*(Settings!$C$17="Lara")+AA20*(Settings!$C$18="Lara")+AD20*(Settings!$C$19="Lara"))*$F20*Settings!$C$4)</f>
        <v/>
      </c>
      <c r="AI20" s="20" t="n"/>
      <c r="AK20" s="26" t="n"/>
      <c r="AL20" s="26" t="n"/>
      <c r="AM20" s="26" t="n"/>
      <c r="AN20" s="26" t="n"/>
      <c r="AO20" s="26" t="n"/>
      <c r="AP20" s="26" t="n"/>
      <c r="AQ20" s="26" t="n"/>
      <c r="AR20" s="26" t="n"/>
      <c r="AS20" s="26" t="n"/>
      <c r="AT20" s="26" t="n"/>
      <c r="AU20" s="26" t="n"/>
      <c r="AV20" s="26" t="n"/>
      <c r="AW20" s="26" t="n"/>
      <c r="AX20" s="26" t="n"/>
      <c r="AY20" s="26" t="n"/>
      <c r="AZ20" s="26" t="n"/>
      <c r="BA20" s="26" t="n"/>
      <c r="BB20" s="26" t="n"/>
      <c r="BC20" s="26" t="n"/>
      <c r="BD20" s="26" t="n"/>
      <c r="BE20" s="26" t="n"/>
      <c r="BF20" s="26" t="n"/>
      <c r="BG20" s="26" t="n"/>
      <c r="BH20" s="26" t="n"/>
      <c r="BI20" s="26" t="n"/>
      <c r="BJ20" s="26" t="n"/>
      <c r="BK20" s="26" t="n"/>
      <c r="BL20" s="26" t="n"/>
      <c r="BM20" s="26" t="n"/>
      <c r="BN20" s="26" t="n"/>
      <c r="BO20" s="26" t="n"/>
      <c r="BP20" s="26" t="n"/>
      <c r="BQ20" s="26" t="n"/>
      <c r="BR20" s="26" t="n"/>
      <c r="BS20" s="26" t="n"/>
      <c r="BT20" s="26" t="n"/>
      <c r="BU20" s="26" t="n"/>
      <c r="BV20" s="26" t="n"/>
      <c r="BW20" s="26" t="n"/>
      <c r="BX20" s="26" t="n"/>
      <c r="BY20" s="26" t="n"/>
      <c r="BZ20" s="26" t="n"/>
      <c r="CA20" s="26" t="n"/>
      <c r="CB20" s="26" t="n"/>
      <c r="CC20" s="26" t="n"/>
      <c r="CD20" s="26" t="n"/>
      <c r="CE20" s="26" t="n"/>
      <c r="CF20" s="26" t="n"/>
      <c r="CG20" s="26" t="n"/>
      <c r="CH20" s="26" t="n"/>
      <c r="CI20" s="26" t="n"/>
      <c r="CJ20" s="26" t="n"/>
      <c r="CK20" s="26" t="n"/>
      <c r="CL20" s="26" t="n"/>
      <c r="CM20" s="26" t="n"/>
      <c r="CN20" s="26" t="n"/>
      <c r="CO20" s="26" t="n"/>
      <c r="CP20" s="26" t="n"/>
      <c r="CQ20" s="26" t="n"/>
      <c r="CR20" s="26" t="n"/>
    </row>
    <row r="21">
      <c r="A21" s="19" t="n">
        <v>17</v>
      </c>
      <c r="B21" s="20" t="n"/>
      <c r="C21" s="20" t="n"/>
      <c r="D21" s="5" t="n"/>
      <c r="E21" s="21" t="n"/>
      <c r="F21" s="22" t="n"/>
      <c r="G21" s="23" t="n"/>
      <c r="H21" s="5" t="n"/>
      <c r="I21" s="24">
        <f>IF($D21="",0,IF(Settings!$D$12=0,0,MAX(1,ROUND(Settings!$D$12*Settings!$C$5*($D21/Settings!$C$6)^Settings!$E$12*IF(Settings!$C$12="Lara",$E21/$F21,1),0))))</f>
        <v/>
      </c>
      <c r="J21" s="25">
        <f>IF($G21="",0,WORKDAY($G21-1,1,Settings!$J$4:$J$23))</f>
        <v/>
      </c>
      <c r="K21" s="25">
        <f>IF(J21=0,0,IF(I21=0,J21,WORKDAY(J21,I21-1,Settings!$J$4:$J$23)))</f>
        <v/>
      </c>
      <c r="L21" s="24">
        <f>IF($D21="",0,IF(Settings!$D$13=0,0,MAX(1,ROUND(Settings!$D$13*Settings!$C$5*($D21/Settings!$C$6)^Settings!$E$13*IF(Settings!$C$13="Lara",$E21/$F21,1),0))))</f>
        <v/>
      </c>
      <c r="M21" s="25">
        <f>IF(K21=0,0,IF(L21=0,K21,WORKDAY(K21,1+Settings!$C$7,Settings!$J$4:$J$23)))</f>
        <v/>
      </c>
      <c r="N21" s="25">
        <f>IF(M21=0,0,IF(L21=0,M21,WORKDAY(M21,L21-1,Settings!$J$4:$J$23)))</f>
        <v/>
      </c>
      <c r="O21" s="24">
        <f>IF($D21="",0,IF(Settings!$D$14=0,0,MAX(1,ROUND(Settings!$D$14*Settings!$C$5*($D21/Settings!$C$6)^Settings!$E$14*IF(Settings!$C$14="Lara",$E21/$F21,1),0))))</f>
        <v/>
      </c>
      <c r="P21" s="25">
        <f>IF(N21=0,0,IF(O21=0,N21,WORKDAY(N21,1+Settings!$C$7,Settings!$J$4:$J$23)))</f>
        <v/>
      </c>
      <c r="Q21" s="25">
        <f>IF(P21=0,0,IF(O21=0,P21,WORKDAY(P21,O21-1,Settings!$J$4:$J$23)))</f>
        <v/>
      </c>
      <c r="R21" s="24">
        <f>IF($D21="",0,IF(Settings!$D$15=0,0,MAX(1,ROUND(Settings!$D$15*Settings!$C$5*($D21/Settings!$C$6)^Settings!$E$15*IF(Settings!$C$15="Lara",$E21/$F21,1),0))))</f>
        <v/>
      </c>
      <c r="S21" s="25">
        <f>IF(Q21=0,0,IF(R21=0,Q21,WORKDAY(Q21,1+Settings!$C$7,Settings!$J$4:$J$23)))</f>
        <v/>
      </c>
      <c r="T21" s="25">
        <f>IF(S21=0,0,IF(R21=0,S21,WORKDAY(S21,R21-1,Settings!$J$4:$J$23)))</f>
        <v/>
      </c>
      <c r="U21" s="24">
        <f>IF($D21="",0,IF(Settings!$D$16=0,0,MAX(1,ROUND(Settings!$D$16*Settings!$C$5*($D21/Settings!$C$6)^Settings!$E$16*IF(Settings!$C$16="Lara",$E21/$F21,1),0))))</f>
        <v/>
      </c>
      <c r="V21" s="25">
        <f>IF(T21=0,0,IF(U21=0,T21,WORKDAY(T21,1+Settings!$C$7,Settings!$J$4:$J$23)))</f>
        <v/>
      </c>
      <c r="W21" s="25">
        <f>IF(V21=0,0,IF(U21=0,V21,WORKDAY(V21,U21-1,Settings!$J$4:$J$23)))</f>
        <v/>
      </c>
      <c r="X21" s="24">
        <f>IF($D21="",0,IF(Settings!$D$17=0,0,MAX(1,ROUND(Settings!$D$17*Settings!$C$5*($D21/Settings!$C$6)^Settings!$E$17*IF(Settings!$C$17="Lara",$E21/$F21,1),0))))</f>
        <v/>
      </c>
      <c r="Y21" s="25">
        <f>IF(W21=0,0,IF(X21=0,W21,WORKDAY(W21,1+Settings!$C$7,Settings!$J$4:$J$23)))</f>
        <v/>
      </c>
      <c r="Z21" s="25">
        <f>IF(Y21=0,0,IF(X21=0,Y21,WORKDAY(Y21,X21-1,Settings!$J$4:$J$23)))</f>
        <v/>
      </c>
      <c r="AA21" s="24">
        <f>IF($D21="",0,IF(Settings!$D$18=0,0,MAX(1,ROUND(Settings!$D$18*Settings!$C$5*($D21/Settings!$C$6)^Settings!$E$18*IF(Settings!$C$18="Lara",$E21/$F21,1),0))))</f>
        <v/>
      </c>
      <c r="AB21" s="25">
        <f>IF(Z21=0,0,IF(AA21=0,Z21,WORKDAY(Z21,1+Settings!$C$7,Settings!$J$4:$J$23)))</f>
        <v/>
      </c>
      <c r="AC21" s="25">
        <f>IF(AB21=0,0,IF(AA21=0,AB21,WORKDAY(AB21,AA21-1,Settings!$J$4:$J$23)))</f>
        <v/>
      </c>
      <c r="AD21" s="24">
        <f>IF($D21="",0,IF(Settings!$D$19=0,0,MAX(1,ROUND(Settings!$D$19*Settings!$C$5*($D21/Settings!$C$6)^Settings!$E$19*IF(Settings!$C$19="Lara",$E21/$F21,1),0))))</f>
        <v/>
      </c>
      <c r="AE21" s="25">
        <f>IF(AC21=0,0,IF(AD21=0,AC21,WORKDAY(AC21,1+Settings!$C$7,Settings!$J$4:$J$23)))</f>
        <v/>
      </c>
      <c r="AF21" s="25">
        <f>IF(AE21=0,0,IF(AD21=0,AE21,WORKDAY(AE21,AD21-1,Settings!$J$4:$J$23)))</f>
        <v/>
      </c>
      <c r="AG21" s="25">
        <f>AF21</f>
        <v/>
      </c>
      <c r="AH21" s="24">
        <f>IF($D21="",0,(I21*(Settings!$C$12="Lara")+L21*(Settings!$C$13="Lara")+O21*(Settings!$C$14="Lara")+R21*(Settings!$C$15="Lara")+U21*(Settings!$C$16="Lara")+X21*(Settings!$C$17="Lara")+AA21*(Settings!$C$18="Lara")+AD21*(Settings!$C$19="Lara"))*$F21*Settings!$C$4)</f>
        <v/>
      </c>
      <c r="AI21" s="20" t="n"/>
      <c r="AK21" s="26" t="n"/>
      <c r="AL21" s="26" t="n"/>
      <c r="AM21" s="26" t="n"/>
      <c r="AN21" s="26" t="n"/>
      <c r="AO21" s="26" t="n"/>
      <c r="AP21" s="26" t="n"/>
      <c r="AQ21" s="26" t="n"/>
      <c r="AR21" s="26" t="n"/>
      <c r="AS21" s="26" t="n"/>
      <c r="AT21" s="26" t="n"/>
      <c r="AU21" s="26" t="n"/>
      <c r="AV21" s="26" t="n"/>
      <c r="AW21" s="26" t="n"/>
      <c r="AX21" s="26" t="n"/>
      <c r="AY21" s="26" t="n"/>
      <c r="AZ21" s="26" t="n"/>
      <c r="BA21" s="26" t="n"/>
      <c r="BB21" s="26" t="n"/>
      <c r="BC21" s="26" t="n"/>
      <c r="BD21" s="26" t="n"/>
      <c r="BE21" s="26" t="n"/>
      <c r="BF21" s="26" t="n"/>
      <c r="BG21" s="26" t="n"/>
      <c r="BH21" s="26" t="n"/>
      <c r="BI21" s="26" t="n"/>
      <c r="BJ21" s="26" t="n"/>
      <c r="BK21" s="26" t="n"/>
      <c r="BL21" s="26" t="n"/>
      <c r="BM21" s="26" t="n"/>
      <c r="BN21" s="26" t="n"/>
      <c r="BO21" s="26" t="n"/>
      <c r="BP21" s="26" t="n"/>
      <c r="BQ21" s="26" t="n"/>
      <c r="BR21" s="26" t="n"/>
      <c r="BS21" s="26" t="n"/>
      <c r="BT21" s="26" t="n"/>
      <c r="BU21" s="26" t="n"/>
      <c r="BV21" s="26" t="n"/>
      <c r="BW21" s="26" t="n"/>
      <c r="BX21" s="26" t="n"/>
      <c r="BY21" s="26" t="n"/>
      <c r="BZ21" s="26" t="n"/>
      <c r="CA21" s="26" t="n"/>
      <c r="CB21" s="26" t="n"/>
      <c r="CC21" s="26" t="n"/>
      <c r="CD21" s="26" t="n"/>
      <c r="CE21" s="26" t="n"/>
      <c r="CF21" s="26" t="n"/>
      <c r="CG21" s="26" t="n"/>
      <c r="CH21" s="26" t="n"/>
      <c r="CI21" s="26" t="n"/>
      <c r="CJ21" s="26" t="n"/>
      <c r="CK21" s="26" t="n"/>
      <c r="CL21" s="26" t="n"/>
      <c r="CM21" s="26" t="n"/>
      <c r="CN21" s="26" t="n"/>
      <c r="CO21" s="26" t="n"/>
      <c r="CP21" s="26" t="n"/>
      <c r="CQ21" s="26" t="n"/>
      <c r="CR21" s="26" t="n"/>
    </row>
    <row r="22">
      <c r="A22" s="19" t="n">
        <v>18</v>
      </c>
      <c r="B22" s="20" t="n"/>
      <c r="C22" s="20" t="n"/>
      <c r="D22" s="5" t="n"/>
      <c r="E22" s="21" t="n"/>
      <c r="F22" s="22" t="n"/>
      <c r="G22" s="23" t="n"/>
      <c r="H22" s="5" t="n"/>
      <c r="I22" s="24">
        <f>IF($D22="",0,IF(Settings!$D$12=0,0,MAX(1,ROUND(Settings!$D$12*Settings!$C$5*($D22/Settings!$C$6)^Settings!$E$12*IF(Settings!$C$12="Lara",$E22/$F22,1),0))))</f>
        <v/>
      </c>
      <c r="J22" s="25">
        <f>IF($G22="",0,WORKDAY($G22-1,1,Settings!$J$4:$J$23))</f>
        <v/>
      </c>
      <c r="K22" s="25">
        <f>IF(J22=0,0,IF(I22=0,J22,WORKDAY(J22,I22-1,Settings!$J$4:$J$23)))</f>
        <v/>
      </c>
      <c r="L22" s="24">
        <f>IF($D22="",0,IF(Settings!$D$13=0,0,MAX(1,ROUND(Settings!$D$13*Settings!$C$5*($D22/Settings!$C$6)^Settings!$E$13*IF(Settings!$C$13="Lara",$E22/$F22,1),0))))</f>
        <v/>
      </c>
      <c r="M22" s="25">
        <f>IF(K22=0,0,IF(L22=0,K22,WORKDAY(K22,1+Settings!$C$7,Settings!$J$4:$J$23)))</f>
        <v/>
      </c>
      <c r="N22" s="25">
        <f>IF(M22=0,0,IF(L22=0,M22,WORKDAY(M22,L22-1,Settings!$J$4:$J$23)))</f>
        <v/>
      </c>
      <c r="O22" s="24">
        <f>IF($D22="",0,IF(Settings!$D$14=0,0,MAX(1,ROUND(Settings!$D$14*Settings!$C$5*($D22/Settings!$C$6)^Settings!$E$14*IF(Settings!$C$14="Lara",$E22/$F22,1),0))))</f>
        <v/>
      </c>
      <c r="P22" s="25">
        <f>IF(N22=0,0,IF(O22=0,N22,WORKDAY(N22,1+Settings!$C$7,Settings!$J$4:$J$23)))</f>
        <v/>
      </c>
      <c r="Q22" s="25">
        <f>IF(P22=0,0,IF(O22=0,P22,WORKDAY(P22,O22-1,Settings!$J$4:$J$23)))</f>
        <v/>
      </c>
      <c r="R22" s="24">
        <f>IF($D22="",0,IF(Settings!$D$15=0,0,MAX(1,ROUND(Settings!$D$15*Settings!$C$5*($D22/Settings!$C$6)^Settings!$E$15*IF(Settings!$C$15="Lara",$E22/$F22,1),0))))</f>
        <v/>
      </c>
      <c r="S22" s="25">
        <f>IF(Q22=0,0,IF(R22=0,Q22,WORKDAY(Q22,1+Settings!$C$7,Settings!$J$4:$J$23)))</f>
        <v/>
      </c>
      <c r="T22" s="25">
        <f>IF(S22=0,0,IF(R22=0,S22,WORKDAY(S22,R22-1,Settings!$J$4:$J$23)))</f>
        <v/>
      </c>
      <c r="U22" s="24">
        <f>IF($D22="",0,IF(Settings!$D$16=0,0,MAX(1,ROUND(Settings!$D$16*Settings!$C$5*($D22/Settings!$C$6)^Settings!$E$16*IF(Settings!$C$16="Lara",$E22/$F22,1),0))))</f>
        <v/>
      </c>
      <c r="V22" s="25">
        <f>IF(T22=0,0,IF(U22=0,T22,WORKDAY(T22,1+Settings!$C$7,Settings!$J$4:$J$23)))</f>
        <v/>
      </c>
      <c r="W22" s="25">
        <f>IF(V22=0,0,IF(U22=0,V22,WORKDAY(V22,U22-1,Settings!$J$4:$J$23)))</f>
        <v/>
      </c>
      <c r="X22" s="24">
        <f>IF($D22="",0,IF(Settings!$D$17=0,0,MAX(1,ROUND(Settings!$D$17*Settings!$C$5*($D22/Settings!$C$6)^Settings!$E$17*IF(Settings!$C$17="Lara",$E22/$F22,1),0))))</f>
        <v/>
      </c>
      <c r="Y22" s="25">
        <f>IF(W22=0,0,IF(X22=0,W22,WORKDAY(W22,1+Settings!$C$7,Settings!$J$4:$J$23)))</f>
        <v/>
      </c>
      <c r="Z22" s="25">
        <f>IF(Y22=0,0,IF(X22=0,Y22,WORKDAY(Y22,X22-1,Settings!$J$4:$J$23)))</f>
        <v/>
      </c>
      <c r="AA22" s="24">
        <f>IF($D22="",0,IF(Settings!$D$18=0,0,MAX(1,ROUND(Settings!$D$18*Settings!$C$5*($D22/Settings!$C$6)^Settings!$E$18*IF(Settings!$C$18="Lara",$E22/$F22,1),0))))</f>
        <v/>
      </c>
      <c r="AB22" s="25">
        <f>IF(Z22=0,0,IF(AA22=0,Z22,WORKDAY(Z22,1+Settings!$C$7,Settings!$J$4:$J$23)))</f>
        <v/>
      </c>
      <c r="AC22" s="25">
        <f>IF(AB22=0,0,IF(AA22=0,AB22,WORKDAY(AB22,AA22-1,Settings!$J$4:$J$23)))</f>
        <v/>
      </c>
      <c r="AD22" s="24">
        <f>IF($D22="",0,IF(Settings!$D$19=0,0,MAX(1,ROUND(Settings!$D$19*Settings!$C$5*($D22/Settings!$C$6)^Settings!$E$19*IF(Settings!$C$19="Lara",$E22/$F22,1),0))))</f>
        <v/>
      </c>
      <c r="AE22" s="25">
        <f>IF(AC22=0,0,IF(AD22=0,AC22,WORKDAY(AC22,1+Settings!$C$7,Settings!$J$4:$J$23)))</f>
        <v/>
      </c>
      <c r="AF22" s="25">
        <f>IF(AE22=0,0,IF(AD22=0,AE22,WORKDAY(AE22,AD22-1,Settings!$J$4:$J$23)))</f>
        <v/>
      </c>
      <c r="AG22" s="25">
        <f>AF22</f>
        <v/>
      </c>
      <c r="AH22" s="24">
        <f>IF($D22="",0,(I22*(Settings!$C$12="Lara")+L22*(Settings!$C$13="Lara")+O22*(Settings!$C$14="Lara")+R22*(Settings!$C$15="Lara")+U22*(Settings!$C$16="Lara")+X22*(Settings!$C$17="Lara")+AA22*(Settings!$C$18="Lara")+AD22*(Settings!$C$19="Lara"))*$F22*Settings!$C$4)</f>
        <v/>
      </c>
      <c r="AI22" s="20" t="n"/>
      <c r="AK22" s="26" t="n"/>
      <c r="AL22" s="26" t="n"/>
      <c r="AM22" s="26" t="n"/>
      <c r="AN22" s="26" t="n"/>
      <c r="AO22" s="26" t="n"/>
      <c r="AP22" s="26" t="n"/>
      <c r="AQ22" s="26" t="n"/>
      <c r="AR22" s="26" t="n"/>
      <c r="AS22" s="26" t="n"/>
      <c r="AT22" s="26" t="n"/>
      <c r="AU22" s="26" t="n"/>
      <c r="AV22" s="26" t="n"/>
      <c r="AW22" s="26" t="n"/>
      <c r="AX22" s="26" t="n"/>
      <c r="AY22" s="26" t="n"/>
      <c r="AZ22" s="26" t="n"/>
      <c r="BA22" s="26" t="n"/>
      <c r="BB22" s="26" t="n"/>
      <c r="BC22" s="26" t="n"/>
      <c r="BD22" s="26" t="n"/>
      <c r="BE22" s="26" t="n"/>
      <c r="BF22" s="26" t="n"/>
      <c r="BG22" s="26" t="n"/>
      <c r="BH22" s="26" t="n"/>
      <c r="BI22" s="26" t="n"/>
      <c r="BJ22" s="26" t="n"/>
      <c r="BK22" s="26" t="n"/>
      <c r="BL22" s="26" t="n"/>
      <c r="BM22" s="26" t="n"/>
      <c r="BN22" s="26" t="n"/>
      <c r="BO22" s="26" t="n"/>
      <c r="BP22" s="26" t="n"/>
      <c r="BQ22" s="26" t="n"/>
      <c r="BR22" s="26" t="n"/>
      <c r="BS22" s="26" t="n"/>
      <c r="BT22" s="26" t="n"/>
      <c r="BU22" s="26" t="n"/>
      <c r="BV22" s="26" t="n"/>
      <c r="BW22" s="26" t="n"/>
      <c r="BX22" s="26" t="n"/>
      <c r="BY22" s="26" t="n"/>
      <c r="BZ22" s="26" t="n"/>
      <c r="CA22" s="26" t="n"/>
      <c r="CB22" s="26" t="n"/>
      <c r="CC22" s="26" t="n"/>
      <c r="CD22" s="26" t="n"/>
      <c r="CE22" s="26" t="n"/>
      <c r="CF22" s="26" t="n"/>
      <c r="CG22" s="26" t="n"/>
      <c r="CH22" s="26" t="n"/>
      <c r="CI22" s="26" t="n"/>
      <c r="CJ22" s="26" t="n"/>
      <c r="CK22" s="26" t="n"/>
      <c r="CL22" s="26" t="n"/>
      <c r="CM22" s="26" t="n"/>
      <c r="CN22" s="26" t="n"/>
      <c r="CO22" s="26" t="n"/>
      <c r="CP22" s="26" t="n"/>
      <c r="CQ22" s="26" t="n"/>
      <c r="CR22" s="26" t="n"/>
    </row>
    <row r="23">
      <c r="A23" s="19" t="n">
        <v>19</v>
      </c>
      <c r="B23" s="20" t="n"/>
      <c r="C23" s="20" t="n"/>
      <c r="D23" s="5" t="n"/>
      <c r="E23" s="21" t="n"/>
      <c r="F23" s="22" t="n"/>
      <c r="G23" s="23" t="n"/>
      <c r="H23" s="5" t="n"/>
      <c r="I23" s="24">
        <f>IF($D23="",0,IF(Settings!$D$12=0,0,MAX(1,ROUND(Settings!$D$12*Settings!$C$5*($D23/Settings!$C$6)^Settings!$E$12*IF(Settings!$C$12="Lara",$E23/$F23,1),0))))</f>
        <v/>
      </c>
      <c r="J23" s="25">
        <f>IF($G23="",0,WORKDAY($G23-1,1,Settings!$J$4:$J$23))</f>
        <v/>
      </c>
      <c r="K23" s="25">
        <f>IF(J23=0,0,IF(I23=0,J23,WORKDAY(J23,I23-1,Settings!$J$4:$J$23)))</f>
        <v/>
      </c>
      <c r="L23" s="24">
        <f>IF($D23="",0,IF(Settings!$D$13=0,0,MAX(1,ROUND(Settings!$D$13*Settings!$C$5*($D23/Settings!$C$6)^Settings!$E$13*IF(Settings!$C$13="Lara",$E23/$F23,1),0))))</f>
        <v/>
      </c>
      <c r="M23" s="25">
        <f>IF(K23=0,0,IF(L23=0,K23,WORKDAY(K23,1+Settings!$C$7,Settings!$J$4:$J$23)))</f>
        <v/>
      </c>
      <c r="N23" s="25">
        <f>IF(M23=0,0,IF(L23=0,M23,WORKDAY(M23,L23-1,Settings!$J$4:$J$23)))</f>
        <v/>
      </c>
      <c r="O23" s="24">
        <f>IF($D23="",0,IF(Settings!$D$14=0,0,MAX(1,ROUND(Settings!$D$14*Settings!$C$5*($D23/Settings!$C$6)^Settings!$E$14*IF(Settings!$C$14="Lara",$E23/$F23,1),0))))</f>
        <v/>
      </c>
      <c r="P23" s="25">
        <f>IF(N23=0,0,IF(O23=0,N23,WORKDAY(N23,1+Settings!$C$7,Settings!$J$4:$J$23)))</f>
        <v/>
      </c>
      <c r="Q23" s="25">
        <f>IF(P23=0,0,IF(O23=0,P23,WORKDAY(P23,O23-1,Settings!$J$4:$J$23)))</f>
        <v/>
      </c>
      <c r="R23" s="24">
        <f>IF($D23="",0,IF(Settings!$D$15=0,0,MAX(1,ROUND(Settings!$D$15*Settings!$C$5*($D23/Settings!$C$6)^Settings!$E$15*IF(Settings!$C$15="Lara",$E23/$F23,1),0))))</f>
        <v/>
      </c>
      <c r="S23" s="25">
        <f>IF(Q23=0,0,IF(R23=0,Q23,WORKDAY(Q23,1+Settings!$C$7,Settings!$J$4:$J$23)))</f>
        <v/>
      </c>
      <c r="T23" s="25">
        <f>IF(S23=0,0,IF(R23=0,S23,WORKDAY(S23,R23-1,Settings!$J$4:$J$23)))</f>
        <v/>
      </c>
      <c r="U23" s="24">
        <f>IF($D23="",0,IF(Settings!$D$16=0,0,MAX(1,ROUND(Settings!$D$16*Settings!$C$5*($D23/Settings!$C$6)^Settings!$E$16*IF(Settings!$C$16="Lara",$E23/$F23,1),0))))</f>
        <v/>
      </c>
      <c r="V23" s="25">
        <f>IF(T23=0,0,IF(U23=0,T23,WORKDAY(T23,1+Settings!$C$7,Settings!$J$4:$J$23)))</f>
        <v/>
      </c>
      <c r="W23" s="25">
        <f>IF(V23=0,0,IF(U23=0,V23,WORKDAY(V23,U23-1,Settings!$J$4:$J$23)))</f>
        <v/>
      </c>
      <c r="X23" s="24">
        <f>IF($D23="",0,IF(Settings!$D$17=0,0,MAX(1,ROUND(Settings!$D$17*Settings!$C$5*($D23/Settings!$C$6)^Settings!$E$17*IF(Settings!$C$17="Lara",$E23/$F23,1),0))))</f>
        <v/>
      </c>
      <c r="Y23" s="25">
        <f>IF(W23=0,0,IF(X23=0,W23,WORKDAY(W23,1+Settings!$C$7,Settings!$J$4:$J$23)))</f>
        <v/>
      </c>
      <c r="Z23" s="25">
        <f>IF(Y23=0,0,IF(X23=0,Y23,WORKDAY(Y23,X23-1,Settings!$J$4:$J$23)))</f>
        <v/>
      </c>
      <c r="AA23" s="24">
        <f>IF($D23="",0,IF(Settings!$D$18=0,0,MAX(1,ROUND(Settings!$D$18*Settings!$C$5*($D23/Settings!$C$6)^Settings!$E$18*IF(Settings!$C$18="Lara",$E23/$F23,1),0))))</f>
        <v/>
      </c>
      <c r="AB23" s="25">
        <f>IF(Z23=0,0,IF(AA23=0,Z23,WORKDAY(Z23,1+Settings!$C$7,Settings!$J$4:$J$23)))</f>
        <v/>
      </c>
      <c r="AC23" s="25">
        <f>IF(AB23=0,0,IF(AA23=0,AB23,WORKDAY(AB23,AA23-1,Settings!$J$4:$J$23)))</f>
        <v/>
      </c>
      <c r="AD23" s="24">
        <f>IF($D23="",0,IF(Settings!$D$19=0,0,MAX(1,ROUND(Settings!$D$19*Settings!$C$5*($D23/Settings!$C$6)^Settings!$E$19*IF(Settings!$C$19="Lara",$E23/$F23,1),0))))</f>
        <v/>
      </c>
      <c r="AE23" s="25">
        <f>IF(AC23=0,0,IF(AD23=0,AC23,WORKDAY(AC23,1+Settings!$C$7,Settings!$J$4:$J$23)))</f>
        <v/>
      </c>
      <c r="AF23" s="25">
        <f>IF(AE23=0,0,IF(AD23=0,AE23,WORKDAY(AE23,AD23-1,Settings!$J$4:$J$23)))</f>
        <v/>
      </c>
      <c r="AG23" s="25">
        <f>AF23</f>
        <v/>
      </c>
      <c r="AH23" s="24">
        <f>IF($D23="",0,(I23*(Settings!$C$12="Lara")+L23*(Settings!$C$13="Lara")+O23*(Settings!$C$14="Lara")+R23*(Settings!$C$15="Lara")+U23*(Settings!$C$16="Lara")+X23*(Settings!$C$17="Lara")+AA23*(Settings!$C$18="Lara")+AD23*(Settings!$C$19="Lara"))*$F23*Settings!$C$4)</f>
        <v/>
      </c>
      <c r="AI23" s="20" t="n"/>
      <c r="AK23" s="26" t="n"/>
      <c r="AL23" s="26" t="n"/>
      <c r="AM23" s="26" t="n"/>
      <c r="AN23" s="26" t="n"/>
      <c r="AO23" s="26" t="n"/>
      <c r="AP23" s="26" t="n"/>
      <c r="AQ23" s="26" t="n"/>
      <c r="AR23" s="26" t="n"/>
      <c r="AS23" s="26" t="n"/>
      <c r="AT23" s="26" t="n"/>
      <c r="AU23" s="26" t="n"/>
      <c r="AV23" s="26" t="n"/>
      <c r="AW23" s="26" t="n"/>
      <c r="AX23" s="26" t="n"/>
      <c r="AY23" s="26" t="n"/>
      <c r="AZ23" s="26" t="n"/>
      <c r="BA23" s="26" t="n"/>
      <c r="BB23" s="26" t="n"/>
      <c r="BC23" s="26" t="n"/>
      <c r="BD23" s="26" t="n"/>
      <c r="BE23" s="26" t="n"/>
      <c r="BF23" s="26" t="n"/>
      <c r="BG23" s="26" t="n"/>
      <c r="BH23" s="26" t="n"/>
      <c r="BI23" s="26" t="n"/>
      <c r="BJ23" s="26" t="n"/>
      <c r="BK23" s="26" t="n"/>
      <c r="BL23" s="26" t="n"/>
      <c r="BM23" s="26" t="n"/>
      <c r="BN23" s="26" t="n"/>
      <c r="BO23" s="26" t="n"/>
      <c r="BP23" s="26" t="n"/>
      <c r="BQ23" s="26" t="n"/>
      <c r="BR23" s="26" t="n"/>
      <c r="BS23" s="26" t="n"/>
      <c r="BT23" s="26" t="n"/>
      <c r="BU23" s="26" t="n"/>
      <c r="BV23" s="26" t="n"/>
      <c r="BW23" s="26" t="n"/>
      <c r="BX23" s="26" t="n"/>
      <c r="BY23" s="26" t="n"/>
      <c r="BZ23" s="26" t="n"/>
      <c r="CA23" s="26" t="n"/>
      <c r="CB23" s="26" t="n"/>
      <c r="CC23" s="26" t="n"/>
      <c r="CD23" s="26" t="n"/>
      <c r="CE23" s="26" t="n"/>
      <c r="CF23" s="26" t="n"/>
      <c r="CG23" s="26" t="n"/>
      <c r="CH23" s="26" t="n"/>
      <c r="CI23" s="26" t="n"/>
      <c r="CJ23" s="26" t="n"/>
      <c r="CK23" s="26" t="n"/>
      <c r="CL23" s="26" t="n"/>
      <c r="CM23" s="26" t="n"/>
      <c r="CN23" s="26" t="n"/>
      <c r="CO23" s="26" t="n"/>
      <c r="CP23" s="26" t="n"/>
      <c r="CQ23" s="26" t="n"/>
      <c r="CR23" s="26" t="n"/>
    </row>
    <row r="24">
      <c r="A24" s="19" t="n">
        <v>20</v>
      </c>
      <c r="B24" s="20" t="n"/>
      <c r="C24" s="20" t="n"/>
      <c r="D24" s="5" t="n"/>
      <c r="E24" s="21" t="n"/>
      <c r="F24" s="22" t="n"/>
      <c r="G24" s="23" t="n"/>
      <c r="H24" s="5" t="n"/>
      <c r="I24" s="24">
        <f>IF($D24="",0,IF(Settings!$D$12=0,0,MAX(1,ROUND(Settings!$D$12*Settings!$C$5*($D24/Settings!$C$6)^Settings!$E$12*IF(Settings!$C$12="Lara",$E24/$F24,1),0))))</f>
        <v/>
      </c>
      <c r="J24" s="25">
        <f>IF($G24="",0,WORKDAY($G24-1,1,Settings!$J$4:$J$23))</f>
        <v/>
      </c>
      <c r="K24" s="25">
        <f>IF(J24=0,0,IF(I24=0,J24,WORKDAY(J24,I24-1,Settings!$J$4:$J$23)))</f>
        <v/>
      </c>
      <c r="L24" s="24">
        <f>IF($D24="",0,IF(Settings!$D$13=0,0,MAX(1,ROUND(Settings!$D$13*Settings!$C$5*($D24/Settings!$C$6)^Settings!$E$13*IF(Settings!$C$13="Lara",$E24/$F24,1),0))))</f>
        <v/>
      </c>
      <c r="M24" s="25">
        <f>IF(K24=0,0,IF(L24=0,K24,WORKDAY(K24,1+Settings!$C$7,Settings!$J$4:$J$23)))</f>
        <v/>
      </c>
      <c r="N24" s="25">
        <f>IF(M24=0,0,IF(L24=0,M24,WORKDAY(M24,L24-1,Settings!$J$4:$J$23)))</f>
        <v/>
      </c>
      <c r="O24" s="24">
        <f>IF($D24="",0,IF(Settings!$D$14=0,0,MAX(1,ROUND(Settings!$D$14*Settings!$C$5*($D24/Settings!$C$6)^Settings!$E$14*IF(Settings!$C$14="Lara",$E24/$F24,1),0))))</f>
        <v/>
      </c>
      <c r="P24" s="25">
        <f>IF(N24=0,0,IF(O24=0,N24,WORKDAY(N24,1+Settings!$C$7,Settings!$J$4:$J$23)))</f>
        <v/>
      </c>
      <c r="Q24" s="25">
        <f>IF(P24=0,0,IF(O24=0,P24,WORKDAY(P24,O24-1,Settings!$J$4:$J$23)))</f>
        <v/>
      </c>
      <c r="R24" s="24">
        <f>IF($D24="",0,IF(Settings!$D$15=0,0,MAX(1,ROUND(Settings!$D$15*Settings!$C$5*($D24/Settings!$C$6)^Settings!$E$15*IF(Settings!$C$15="Lara",$E24/$F24,1),0))))</f>
        <v/>
      </c>
      <c r="S24" s="25">
        <f>IF(Q24=0,0,IF(R24=0,Q24,WORKDAY(Q24,1+Settings!$C$7,Settings!$J$4:$J$23)))</f>
        <v/>
      </c>
      <c r="T24" s="25">
        <f>IF(S24=0,0,IF(R24=0,S24,WORKDAY(S24,R24-1,Settings!$J$4:$J$23)))</f>
        <v/>
      </c>
      <c r="U24" s="24">
        <f>IF($D24="",0,IF(Settings!$D$16=0,0,MAX(1,ROUND(Settings!$D$16*Settings!$C$5*($D24/Settings!$C$6)^Settings!$E$16*IF(Settings!$C$16="Lara",$E24/$F24,1),0))))</f>
        <v/>
      </c>
      <c r="V24" s="25">
        <f>IF(T24=0,0,IF(U24=0,T24,WORKDAY(T24,1+Settings!$C$7,Settings!$J$4:$J$23)))</f>
        <v/>
      </c>
      <c r="W24" s="25">
        <f>IF(V24=0,0,IF(U24=0,V24,WORKDAY(V24,U24-1,Settings!$J$4:$J$23)))</f>
        <v/>
      </c>
      <c r="X24" s="24">
        <f>IF($D24="",0,IF(Settings!$D$17=0,0,MAX(1,ROUND(Settings!$D$17*Settings!$C$5*($D24/Settings!$C$6)^Settings!$E$17*IF(Settings!$C$17="Lara",$E24/$F24,1),0))))</f>
        <v/>
      </c>
      <c r="Y24" s="25">
        <f>IF(W24=0,0,IF(X24=0,W24,WORKDAY(W24,1+Settings!$C$7,Settings!$J$4:$J$23)))</f>
        <v/>
      </c>
      <c r="Z24" s="25">
        <f>IF(Y24=0,0,IF(X24=0,Y24,WORKDAY(Y24,X24-1,Settings!$J$4:$J$23)))</f>
        <v/>
      </c>
      <c r="AA24" s="24">
        <f>IF($D24="",0,IF(Settings!$D$18=0,0,MAX(1,ROUND(Settings!$D$18*Settings!$C$5*($D24/Settings!$C$6)^Settings!$E$18*IF(Settings!$C$18="Lara",$E24/$F24,1),0))))</f>
        <v/>
      </c>
      <c r="AB24" s="25">
        <f>IF(Z24=0,0,IF(AA24=0,Z24,WORKDAY(Z24,1+Settings!$C$7,Settings!$J$4:$J$23)))</f>
        <v/>
      </c>
      <c r="AC24" s="25">
        <f>IF(AB24=0,0,IF(AA24=0,AB24,WORKDAY(AB24,AA24-1,Settings!$J$4:$J$23)))</f>
        <v/>
      </c>
      <c r="AD24" s="24">
        <f>IF($D24="",0,IF(Settings!$D$19=0,0,MAX(1,ROUND(Settings!$D$19*Settings!$C$5*($D24/Settings!$C$6)^Settings!$E$19*IF(Settings!$C$19="Lara",$E24/$F24,1),0))))</f>
        <v/>
      </c>
      <c r="AE24" s="25">
        <f>IF(AC24=0,0,IF(AD24=0,AC24,WORKDAY(AC24,1+Settings!$C$7,Settings!$J$4:$J$23)))</f>
        <v/>
      </c>
      <c r="AF24" s="25">
        <f>IF(AE24=0,0,IF(AD24=0,AE24,WORKDAY(AE24,AD24-1,Settings!$J$4:$J$23)))</f>
        <v/>
      </c>
      <c r="AG24" s="25">
        <f>AF24</f>
        <v/>
      </c>
      <c r="AH24" s="24">
        <f>IF($D24="",0,(I24*(Settings!$C$12="Lara")+L24*(Settings!$C$13="Lara")+O24*(Settings!$C$14="Lara")+R24*(Settings!$C$15="Lara")+U24*(Settings!$C$16="Lara")+X24*(Settings!$C$17="Lara")+AA24*(Settings!$C$18="Lara")+AD24*(Settings!$C$19="Lara"))*$F24*Settings!$C$4)</f>
        <v/>
      </c>
      <c r="AI24" s="20" t="n"/>
      <c r="AK24" s="26" t="n"/>
      <c r="AL24" s="26" t="n"/>
      <c r="AM24" s="26" t="n"/>
      <c r="AN24" s="26" t="n"/>
      <c r="AO24" s="26" t="n"/>
      <c r="AP24" s="26" t="n"/>
      <c r="AQ24" s="26" t="n"/>
      <c r="AR24" s="26" t="n"/>
      <c r="AS24" s="26" t="n"/>
      <c r="AT24" s="26" t="n"/>
      <c r="AU24" s="26" t="n"/>
      <c r="AV24" s="26" t="n"/>
      <c r="AW24" s="26" t="n"/>
      <c r="AX24" s="26" t="n"/>
      <c r="AY24" s="26" t="n"/>
      <c r="AZ24" s="26" t="n"/>
      <c r="BA24" s="26" t="n"/>
      <c r="BB24" s="26" t="n"/>
      <c r="BC24" s="26" t="n"/>
      <c r="BD24" s="26" t="n"/>
      <c r="BE24" s="26" t="n"/>
      <c r="BF24" s="26" t="n"/>
      <c r="BG24" s="26" t="n"/>
      <c r="BH24" s="26" t="n"/>
      <c r="BI24" s="26" t="n"/>
      <c r="BJ24" s="26" t="n"/>
      <c r="BK24" s="26" t="n"/>
      <c r="BL24" s="26" t="n"/>
      <c r="BM24" s="26" t="n"/>
      <c r="BN24" s="26" t="n"/>
      <c r="BO24" s="26" t="n"/>
      <c r="BP24" s="26" t="n"/>
      <c r="BQ24" s="26" t="n"/>
      <c r="BR24" s="26" t="n"/>
      <c r="BS24" s="26" t="n"/>
      <c r="BT24" s="26" t="n"/>
      <c r="BU24" s="26" t="n"/>
      <c r="BV24" s="26" t="n"/>
      <c r="BW24" s="26" t="n"/>
      <c r="BX24" s="26" t="n"/>
      <c r="BY24" s="26" t="n"/>
      <c r="BZ24" s="26" t="n"/>
      <c r="CA24" s="26" t="n"/>
      <c r="CB24" s="26" t="n"/>
      <c r="CC24" s="26" t="n"/>
      <c r="CD24" s="26" t="n"/>
      <c r="CE24" s="26" t="n"/>
      <c r="CF24" s="26" t="n"/>
      <c r="CG24" s="26" t="n"/>
      <c r="CH24" s="26" t="n"/>
      <c r="CI24" s="26" t="n"/>
      <c r="CJ24" s="26" t="n"/>
      <c r="CK24" s="26" t="n"/>
      <c r="CL24" s="26" t="n"/>
      <c r="CM24" s="26" t="n"/>
      <c r="CN24" s="26" t="n"/>
      <c r="CO24" s="26" t="n"/>
      <c r="CP24" s="26" t="n"/>
      <c r="CQ24" s="26" t="n"/>
      <c r="CR24" s="26" t="n"/>
    </row>
    <row r="25">
      <c r="A25" s="19" t="n">
        <v>21</v>
      </c>
      <c r="B25" s="20" t="n"/>
      <c r="C25" s="20" t="n"/>
      <c r="D25" s="5" t="n"/>
      <c r="E25" s="21" t="n"/>
      <c r="F25" s="22" t="n"/>
      <c r="G25" s="23" t="n"/>
      <c r="H25" s="5" t="n"/>
      <c r="I25" s="24">
        <f>IF($D25="",0,IF(Settings!$D$12=0,0,MAX(1,ROUND(Settings!$D$12*Settings!$C$5*($D25/Settings!$C$6)^Settings!$E$12*IF(Settings!$C$12="Lara",$E25/$F25,1),0))))</f>
        <v/>
      </c>
      <c r="J25" s="25">
        <f>IF($G25="",0,WORKDAY($G25-1,1,Settings!$J$4:$J$23))</f>
        <v/>
      </c>
      <c r="K25" s="25">
        <f>IF(J25=0,0,IF(I25=0,J25,WORKDAY(J25,I25-1,Settings!$J$4:$J$23)))</f>
        <v/>
      </c>
      <c r="L25" s="24">
        <f>IF($D25="",0,IF(Settings!$D$13=0,0,MAX(1,ROUND(Settings!$D$13*Settings!$C$5*($D25/Settings!$C$6)^Settings!$E$13*IF(Settings!$C$13="Lara",$E25/$F25,1),0))))</f>
        <v/>
      </c>
      <c r="M25" s="25">
        <f>IF(K25=0,0,IF(L25=0,K25,WORKDAY(K25,1+Settings!$C$7,Settings!$J$4:$J$23)))</f>
        <v/>
      </c>
      <c r="N25" s="25">
        <f>IF(M25=0,0,IF(L25=0,M25,WORKDAY(M25,L25-1,Settings!$J$4:$J$23)))</f>
        <v/>
      </c>
      <c r="O25" s="24">
        <f>IF($D25="",0,IF(Settings!$D$14=0,0,MAX(1,ROUND(Settings!$D$14*Settings!$C$5*($D25/Settings!$C$6)^Settings!$E$14*IF(Settings!$C$14="Lara",$E25/$F25,1),0))))</f>
        <v/>
      </c>
      <c r="P25" s="25">
        <f>IF(N25=0,0,IF(O25=0,N25,WORKDAY(N25,1+Settings!$C$7,Settings!$J$4:$J$23)))</f>
        <v/>
      </c>
      <c r="Q25" s="25">
        <f>IF(P25=0,0,IF(O25=0,P25,WORKDAY(P25,O25-1,Settings!$J$4:$J$23)))</f>
        <v/>
      </c>
      <c r="R25" s="24">
        <f>IF($D25="",0,IF(Settings!$D$15=0,0,MAX(1,ROUND(Settings!$D$15*Settings!$C$5*($D25/Settings!$C$6)^Settings!$E$15*IF(Settings!$C$15="Lara",$E25/$F25,1),0))))</f>
        <v/>
      </c>
      <c r="S25" s="25">
        <f>IF(Q25=0,0,IF(R25=0,Q25,WORKDAY(Q25,1+Settings!$C$7,Settings!$J$4:$J$23)))</f>
        <v/>
      </c>
      <c r="T25" s="25">
        <f>IF(S25=0,0,IF(R25=0,S25,WORKDAY(S25,R25-1,Settings!$J$4:$J$23)))</f>
        <v/>
      </c>
      <c r="U25" s="24">
        <f>IF($D25="",0,IF(Settings!$D$16=0,0,MAX(1,ROUND(Settings!$D$16*Settings!$C$5*($D25/Settings!$C$6)^Settings!$E$16*IF(Settings!$C$16="Lara",$E25/$F25,1),0))))</f>
        <v/>
      </c>
      <c r="V25" s="25">
        <f>IF(T25=0,0,IF(U25=0,T25,WORKDAY(T25,1+Settings!$C$7,Settings!$J$4:$J$23)))</f>
        <v/>
      </c>
      <c r="W25" s="25">
        <f>IF(V25=0,0,IF(U25=0,V25,WORKDAY(V25,U25-1,Settings!$J$4:$J$23)))</f>
        <v/>
      </c>
      <c r="X25" s="24">
        <f>IF($D25="",0,IF(Settings!$D$17=0,0,MAX(1,ROUND(Settings!$D$17*Settings!$C$5*($D25/Settings!$C$6)^Settings!$E$17*IF(Settings!$C$17="Lara",$E25/$F25,1),0))))</f>
        <v/>
      </c>
      <c r="Y25" s="25">
        <f>IF(W25=0,0,IF(X25=0,W25,WORKDAY(W25,1+Settings!$C$7,Settings!$J$4:$J$23)))</f>
        <v/>
      </c>
      <c r="Z25" s="25">
        <f>IF(Y25=0,0,IF(X25=0,Y25,WORKDAY(Y25,X25-1,Settings!$J$4:$J$23)))</f>
        <v/>
      </c>
      <c r="AA25" s="24">
        <f>IF($D25="",0,IF(Settings!$D$18=0,0,MAX(1,ROUND(Settings!$D$18*Settings!$C$5*($D25/Settings!$C$6)^Settings!$E$18*IF(Settings!$C$18="Lara",$E25/$F25,1),0))))</f>
        <v/>
      </c>
      <c r="AB25" s="25">
        <f>IF(Z25=0,0,IF(AA25=0,Z25,WORKDAY(Z25,1+Settings!$C$7,Settings!$J$4:$J$23)))</f>
        <v/>
      </c>
      <c r="AC25" s="25">
        <f>IF(AB25=0,0,IF(AA25=0,AB25,WORKDAY(AB25,AA25-1,Settings!$J$4:$J$23)))</f>
        <v/>
      </c>
      <c r="AD25" s="24">
        <f>IF($D25="",0,IF(Settings!$D$19=0,0,MAX(1,ROUND(Settings!$D$19*Settings!$C$5*($D25/Settings!$C$6)^Settings!$E$19*IF(Settings!$C$19="Lara",$E25/$F25,1),0))))</f>
        <v/>
      </c>
      <c r="AE25" s="25">
        <f>IF(AC25=0,0,IF(AD25=0,AC25,WORKDAY(AC25,1+Settings!$C$7,Settings!$J$4:$J$23)))</f>
        <v/>
      </c>
      <c r="AF25" s="25">
        <f>IF(AE25=0,0,IF(AD25=0,AE25,WORKDAY(AE25,AD25-1,Settings!$J$4:$J$23)))</f>
        <v/>
      </c>
      <c r="AG25" s="25">
        <f>AF25</f>
        <v/>
      </c>
      <c r="AH25" s="24">
        <f>IF($D25="",0,(I25*(Settings!$C$12="Lara")+L25*(Settings!$C$13="Lara")+O25*(Settings!$C$14="Lara")+R25*(Settings!$C$15="Lara")+U25*(Settings!$C$16="Lara")+X25*(Settings!$C$17="Lara")+AA25*(Settings!$C$18="Lara")+AD25*(Settings!$C$19="Lara"))*$F25*Settings!$C$4)</f>
        <v/>
      </c>
      <c r="AI25" s="20" t="n"/>
      <c r="AK25" s="26" t="n"/>
      <c r="AL25" s="26" t="n"/>
      <c r="AM25" s="26" t="n"/>
      <c r="AN25" s="26" t="n"/>
      <c r="AO25" s="26" t="n"/>
      <c r="AP25" s="26" t="n"/>
      <c r="AQ25" s="26" t="n"/>
      <c r="AR25" s="26" t="n"/>
      <c r="AS25" s="26" t="n"/>
      <c r="AT25" s="26" t="n"/>
      <c r="AU25" s="26" t="n"/>
      <c r="AV25" s="26" t="n"/>
      <c r="AW25" s="26" t="n"/>
      <c r="AX25" s="26" t="n"/>
      <c r="AY25" s="26" t="n"/>
      <c r="AZ25" s="26" t="n"/>
      <c r="BA25" s="26" t="n"/>
      <c r="BB25" s="26" t="n"/>
      <c r="BC25" s="26" t="n"/>
      <c r="BD25" s="26" t="n"/>
      <c r="BE25" s="26" t="n"/>
      <c r="BF25" s="26" t="n"/>
      <c r="BG25" s="26" t="n"/>
      <c r="BH25" s="26" t="n"/>
      <c r="BI25" s="26" t="n"/>
      <c r="BJ25" s="26" t="n"/>
      <c r="BK25" s="26" t="n"/>
      <c r="BL25" s="26" t="n"/>
      <c r="BM25" s="26" t="n"/>
      <c r="BN25" s="26" t="n"/>
      <c r="BO25" s="26" t="n"/>
      <c r="BP25" s="26" t="n"/>
      <c r="BQ25" s="26" t="n"/>
      <c r="BR25" s="26" t="n"/>
      <c r="BS25" s="26" t="n"/>
      <c r="BT25" s="26" t="n"/>
      <c r="BU25" s="26" t="n"/>
      <c r="BV25" s="26" t="n"/>
      <c r="BW25" s="26" t="n"/>
      <c r="BX25" s="26" t="n"/>
      <c r="BY25" s="26" t="n"/>
      <c r="BZ25" s="26" t="n"/>
      <c r="CA25" s="26" t="n"/>
      <c r="CB25" s="26" t="n"/>
      <c r="CC25" s="26" t="n"/>
      <c r="CD25" s="26" t="n"/>
      <c r="CE25" s="26" t="n"/>
      <c r="CF25" s="26" t="n"/>
      <c r="CG25" s="26" t="n"/>
      <c r="CH25" s="26" t="n"/>
      <c r="CI25" s="26" t="n"/>
      <c r="CJ25" s="26" t="n"/>
      <c r="CK25" s="26" t="n"/>
      <c r="CL25" s="26" t="n"/>
      <c r="CM25" s="26" t="n"/>
      <c r="CN25" s="26" t="n"/>
      <c r="CO25" s="26" t="n"/>
      <c r="CP25" s="26" t="n"/>
      <c r="CQ25" s="26" t="n"/>
      <c r="CR25" s="26" t="n"/>
    </row>
    <row r="26">
      <c r="A26" s="19" t="n">
        <v>22</v>
      </c>
      <c r="B26" s="20" t="n"/>
      <c r="C26" s="20" t="n"/>
      <c r="D26" s="5" t="n"/>
      <c r="E26" s="21" t="n"/>
      <c r="F26" s="22" t="n"/>
      <c r="G26" s="23" t="n"/>
      <c r="H26" s="5" t="n"/>
      <c r="I26" s="24">
        <f>IF($D26="",0,IF(Settings!$D$12=0,0,MAX(1,ROUND(Settings!$D$12*Settings!$C$5*($D26/Settings!$C$6)^Settings!$E$12*IF(Settings!$C$12="Lara",$E26/$F26,1),0))))</f>
        <v/>
      </c>
      <c r="J26" s="25">
        <f>IF($G26="",0,WORKDAY($G26-1,1,Settings!$J$4:$J$23))</f>
        <v/>
      </c>
      <c r="K26" s="25">
        <f>IF(J26=0,0,IF(I26=0,J26,WORKDAY(J26,I26-1,Settings!$J$4:$J$23)))</f>
        <v/>
      </c>
      <c r="L26" s="24">
        <f>IF($D26="",0,IF(Settings!$D$13=0,0,MAX(1,ROUND(Settings!$D$13*Settings!$C$5*($D26/Settings!$C$6)^Settings!$E$13*IF(Settings!$C$13="Lara",$E26/$F26,1),0))))</f>
        <v/>
      </c>
      <c r="M26" s="25">
        <f>IF(K26=0,0,IF(L26=0,K26,WORKDAY(K26,1+Settings!$C$7,Settings!$J$4:$J$23)))</f>
        <v/>
      </c>
      <c r="N26" s="25">
        <f>IF(M26=0,0,IF(L26=0,M26,WORKDAY(M26,L26-1,Settings!$J$4:$J$23)))</f>
        <v/>
      </c>
      <c r="O26" s="24">
        <f>IF($D26="",0,IF(Settings!$D$14=0,0,MAX(1,ROUND(Settings!$D$14*Settings!$C$5*($D26/Settings!$C$6)^Settings!$E$14*IF(Settings!$C$14="Lara",$E26/$F26,1),0))))</f>
        <v/>
      </c>
      <c r="P26" s="25">
        <f>IF(N26=0,0,IF(O26=0,N26,WORKDAY(N26,1+Settings!$C$7,Settings!$J$4:$J$23)))</f>
        <v/>
      </c>
      <c r="Q26" s="25">
        <f>IF(P26=0,0,IF(O26=0,P26,WORKDAY(P26,O26-1,Settings!$J$4:$J$23)))</f>
        <v/>
      </c>
      <c r="R26" s="24">
        <f>IF($D26="",0,IF(Settings!$D$15=0,0,MAX(1,ROUND(Settings!$D$15*Settings!$C$5*($D26/Settings!$C$6)^Settings!$E$15*IF(Settings!$C$15="Lara",$E26/$F26,1),0))))</f>
        <v/>
      </c>
      <c r="S26" s="25">
        <f>IF(Q26=0,0,IF(R26=0,Q26,WORKDAY(Q26,1+Settings!$C$7,Settings!$J$4:$J$23)))</f>
        <v/>
      </c>
      <c r="T26" s="25">
        <f>IF(S26=0,0,IF(R26=0,S26,WORKDAY(S26,R26-1,Settings!$J$4:$J$23)))</f>
        <v/>
      </c>
      <c r="U26" s="24">
        <f>IF($D26="",0,IF(Settings!$D$16=0,0,MAX(1,ROUND(Settings!$D$16*Settings!$C$5*($D26/Settings!$C$6)^Settings!$E$16*IF(Settings!$C$16="Lara",$E26/$F26,1),0))))</f>
        <v/>
      </c>
      <c r="V26" s="25">
        <f>IF(T26=0,0,IF(U26=0,T26,WORKDAY(T26,1+Settings!$C$7,Settings!$J$4:$J$23)))</f>
        <v/>
      </c>
      <c r="W26" s="25">
        <f>IF(V26=0,0,IF(U26=0,V26,WORKDAY(V26,U26-1,Settings!$J$4:$J$23)))</f>
        <v/>
      </c>
      <c r="X26" s="24">
        <f>IF($D26="",0,IF(Settings!$D$17=0,0,MAX(1,ROUND(Settings!$D$17*Settings!$C$5*($D26/Settings!$C$6)^Settings!$E$17*IF(Settings!$C$17="Lara",$E26/$F26,1),0))))</f>
        <v/>
      </c>
      <c r="Y26" s="25">
        <f>IF(W26=0,0,IF(X26=0,W26,WORKDAY(W26,1+Settings!$C$7,Settings!$J$4:$J$23)))</f>
        <v/>
      </c>
      <c r="Z26" s="25">
        <f>IF(Y26=0,0,IF(X26=0,Y26,WORKDAY(Y26,X26-1,Settings!$J$4:$J$23)))</f>
        <v/>
      </c>
      <c r="AA26" s="24">
        <f>IF($D26="",0,IF(Settings!$D$18=0,0,MAX(1,ROUND(Settings!$D$18*Settings!$C$5*($D26/Settings!$C$6)^Settings!$E$18*IF(Settings!$C$18="Lara",$E26/$F26,1),0))))</f>
        <v/>
      </c>
      <c r="AB26" s="25">
        <f>IF(Z26=0,0,IF(AA26=0,Z26,WORKDAY(Z26,1+Settings!$C$7,Settings!$J$4:$J$23)))</f>
        <v/>
      </c>
      <c r="AC26" s="25">
        <f>IF(AB26=0,0,IF(AA26=0,AB26,WORKDAY(AB26,AA26-1,Settings!$J$4:$J$23)))</f>
        <v/>
      </c>
      <c r="AD26" s="24">
        <f>IF($D26="",0,IF(Settings!$D$19=0,0,MAX(1,ROUND(Settings!$D$19*Settings!$C$5*($D26/Settings!$C$6)^Settings!$E$19*IF(Settings!$C$19="Lara",$E26/$F26,1),0))))</f>
        <v/>
      </c>
      <c r="AE26" s="25">
        <f>IF(AC26=0,0,IF(AD26=0,AC26,WORKDAY(AC26,1+Settings!$C$7,Settings!$J$4:$J$23)))</f>
        <v/>
      </c>
      <c r="AF26" s="25">
        <f>IF(AE26=0,0,IF(AD26=0,AE26,WORKDAY(AE26,AD26-1,Settings!$J$4:$J$23)))</f>
        <v/>
      </c>
      <c r="AG26" s="25">
        <f>AF26</f>
        <v/>
      </c>
      <c r="AH26" s="24">
        <f>IF($D26="",0,(I26*(Settings!$C$12="Lara")+L26*(Settings!$C$13="Lara")+O26*(Settings!$C$14="Lara")+R26*(Settings!$C$15="Lara")+U26*(Settings!$C$16="Lara")+X26*(Settings!$C$17="Lara")+AA26*(Settings!$C$18="Lara")+AD26*(Settings!$C$19="Lara"))*$F26*Settings!$C$4)</f>
        <v/>
      </c>
      <c r="AI26" s="20" t="n"/>
      <c r="AK26" s="26" t="n"/>
      <c r="AL26" s="26" t="n"/>
      <c r="AM26" s="26" t="n"/>
      <c r="AN26" s="26" t="n"/>
      <c r="AO26" s="26" t="n"/>
      <c r="AP26" s="26" t="n"/>
      <c r="AQ26" s="26" t="n"/>
      <c r="AR26" s="26" t="n"/>
      <c r="AS26" s="26" t="n"/>
      <c r="AT26" s="26" t="n"/>
      <c r="AU26" s="26" t="n"/>
      <c r="AV26" s="26" t="n"/>
      <c r="AW26" s="26" t="n"/>
      <c r="AX26" s="26" t="n"/>
      <c r="AY26" s="26" t="n"/>
      <c r="AZ26" s="26" t="n"/>
      <c r="BA26" s="26" t="n"/>
      <c r="BB26" s="26" t="n"/>
      <c r="BC26" s="26" t="n"/>
      <c r="BD26" s="26" t="n"/>
      <c r="BE26" s="26" t="n"/>
      <c r="BF26" s="26" t="n"/>
      <c r="BG26" s="26" t="n"/>
      <c r="BH26" s="26" t="n"/>
      <c r="BI26" s="26" t="n"/>
      <c r="BJ26" s="26" t="n"/>
      <c r="BK26" s="26" t="n"/>
      <c r="BL26" s="26" t="n"/>
      <c r="BM26" s="26" t="n"/>
      <c r="BN26" s="26" t="n"/>
      <c r="BO26" s="26" t="n"/>
      <c r="BP26" s="26" t="n"/>
      <c r="BQ26" s="26" t="n"/>
      <c r="BR26" s="26" t="n"/>
      <c r="BS26" s="26" t="n"/>
      <c r="BT26" s="26" t="n"/>
      <c r="BU26" s="26" t="n"/>
      <c r="BV26" s="26" t="n"/>
      <c r="BW26" s="26" t="n"/>
      <c r="BX26" s="26" t="n"/>
      <c r="BY26" s="26" t="n"/>
      <c r="BZ26" s="26" t="n"/>
      <c r="CA26" s="26" t="n"/>
      <c r="CB26" s="26" t="n"/>
      <c r="CC26" s="26" t="n"/>
      <c r="CD26" s="26" t="n"/>
      <c r="CE26" s="26" t="n"/>
      <c r="CF26" s="26" t="n"/>
      <c r="CG26" s="26" t="n"/>
      <c r="CH26" s="26" t="n"/>
      <c r="CI26" s="26" t="n"/>
      <c r="CJ26" s="26" t="n"/>
      <c r="CK26" s="26" t="n"/>
      <c r="CL26" s="26" t="n"/>
      <c r="CM26" s="26" t="n"/>
      <c r="CN26" s="26" t="n"/>
      <c r="CO26" s="26" t="n"/>
      <c r="CP26" s="26" t="n"/>
      <c r="CQ26" s="26" t="n"/>
      <c r="CR26" s="26" t="n"/>
    </row>
    <row r="27">
      <c r="A27" s="19" t="n">
        <v>23</v>
      </c>
      <c r="B27" s="20" t="n"/>
      <c r="C27" s="20" t="n"/>
      <c r="D27" s="5" t="n"/>
      <c r="E27" s="21" t="n"/>
      <c r="F27" s="22" t="n"/>
      <c r="G27" s="23" t="n"/>
      <c r="H27" s="5" t="n"/>
      <c r="I27" s="24">
        <f>IF($D27="",0,IF(Settings!$D$12=0,0,MAX(1,ROUND(Settings!$D$12*Settings!$C$5*($D27/Settings!$C$6)^Settings!$E$12*IF(Settings!$C$12="Lara",$E27/$F27,1),0))))</f>
        <v/>
      </c>
      <c r="J27" s="25">
        <f>IF($G27="",0,WORKDAY($G27-1,1,Settings!$J$4:$J$23))</f>
        <v/>
      </c>
      <c r="K27" s="25">
        <f>IF(J27=0,0,IF(I27=0,J27,WORKDAY(J27,I27-1,Settings!$J$4:$J$23)))</f>
        <v/>
      </c>
      <c r="L27" s="24">
        <f>IF($D27="",0,IF(Settings!$D$13=0,0,MAX(1,ROUND(Settings!$D$13*Settings!$C$5*($D27/Settings!$C$6)^Settings!$E$13*IF(Settings!$C$13="Lara",$E27/$F27,1),0))))</f>
        <v/>
      </c>
      <c r="M27" s="25">
        <f>IF(K27=0,0,IF(L27=0,K27,WORKDAY(K27,1+Settings!$C$7,Settings!$J$4:$J$23)))</f>
        <v/>
      </c>
      <c r="N27" s="25">
        <f>IF(M27=0,0,IF(L27=0,M27,WORKDAY(M27,L27-1,Settings!$J$4:$J$23)))</f>
        <v/>
      </c>
      <c r="O27" s="24">
        <f>IF($D27="",0,IF(Settings!$D$14=0,0,MAX(1,ROUND(Settings!$D$14*Settings!$C$5*($D27/Settings!$C$6)^Settings!$E$14*IF(Settings!$C$14="Lara",$E27/$F27,1),0))))</f>
        <v/>
      </c>
      <c r="P27" s="25">
        <f>IF(N27=0,0,IF(O27=0,N27,WORKDAY(N27,1+Settings!$C$7,Settings!$J$4:$J$23)))</f>
        <v/>
      </c>
      <c r="Q27" s="25">
        <f>IF(P27=0,0,IF(O27=0,P27,WORKDAY(P27,O27-1,Settings!$J$4:$J$23)))</f>
        <v/>
      </c>
      <c r="R27" s="24">
        <f>IF($D27="",0,IF(Settings!$D$15=0,0,MAX(1,ROUND(Settings!$D$15*Settings!$C$5*($D27/Settings!$C$6)^Settings!$E$15*IF(Settings!$C$15="Lara",$E27/$F27,1),0))))</f>
        <v/>
      </c>
      <c r="S27" s="25">
        <f>IF(Q27=0,0,IF(R27=0,Q27,WORKDAY(Q27,1+Settings!$C$7,Settings!$J$4:$J$23)))</f>
        <v/>
      </c>
      <c r="T27" s="25">
        <f>IF(S27=0,0,IF(R27=0,S27,WORKDAY(S27,R27-1,Settings!$J$4:$J$23)))</f>
        <v/>
      </c>
      <c r="U27" s="24">
        <f>IF($D27="",0,IF(Settings!$D$16=0,0,MAX(1,ROUND(Settings!$D$16*Settings!$C$5*($D27/Settings!$C$6)^Settings!$E$16*IF(Settings!$C$16="Lara",$E27/$F27,1),0))))</f>
        <v/>
      </c>
      <c r="V27" s="25">
        <f>IF(T27=0,0,IF(U27=0,T27,WORKDAY(T27,1+Settings!$C$7,Settings!$J$4:$J$23)))</f>
        <v/>
      </c>
      <c r="W27" s="25">
        <f>IF(V27=0,0,IF(U27=0,V27,WORKDAY(V27,U27-1,Settings!$J$4:$J$23)))</f>
        <v/>
      </c>
      <c r="X27" s="24">
        <f>IF($D27="",0,IF(Settings!$D$17=0,0,MAX(1,ROUND(Settings!$D$17*Settings!$C$5*($D27/Settings!$C$6)^Settings!$E$17*IF(Settings!$C$17="Lara",$E27/$F27,1),0))))</f>
        <v/>
      </c>
      <c r="Y27" s="25">
        <f>IF(W27=0,0,IF(X27=0,W27,WORKDAY(W27,1+Settings!$C$7,Settings!$J$4:$J$23)))</f>
        <v/>
      </c>
      <c r="Z27" s="25">
        <f>IF(Y27=0,0,IF(X27=0,Y27,WORKDAY(Y27,X27-1,Settings!$J$4:$J$23)))</f>
        <v/>
      </c>
      <c r="AA27" s="24">
        <f>IF($D27="",0,IF(Settings!$D$18=0,0,MAX(1,ROUND(Settings!$D$18*Settings!$C$5*($D27/Settings!$C$6)^Settings!$E$18*IF(Settings!$C$18="Lara",$E27/$F27,1),0))))</f>
        <v/>
      </c>
      <c r="AB27" s="25">
        <f>IF(Z27=0,0,IF(AA27=0,Z27,WORKDAY(Z27,1+Settings!$C$7,Settings!$J$4:$J$23)))</f>
        <v/>
      </c>
      <c r="AC27" s="25">
        <f>IF(AB27=0,0,IF(AA27=0,AB27,WORKDAY(AB27,AA27-1,Settings!$J$4:$J$23)))</f>
        <v/>
      </c>
      <c r="AD27" s="24">
        <f>IF($D27="",0,IF(Settings!$D$19=0,0,MAX(1,ROUND(Settings!$D$19*Settings!$C$5*($D27/Settings!$C$6)^Settings!$E$19*IF(Settings!$C$19="Lara",$E27/$F27,1),0))))</f>
        <v/>
      </c>
      <c r="AE27" s="25">
        <f>IF(AC27=0,0,IF(AD27=0,AC27,WORKDAY(AC27,1+Settings!$C$7,Settings!$J$4:$J$23)))</f>
        <v/>
      </c>
      <c r="AF27" s="25">
        <f>IF(AE27=0,0,IF(AD27=0,AE27,WORKDAY(AE27,AD27-1,Settings!$J$4:$J$23)))</f>
        <v/>
      </c>
      <c r="AG27" s="25">
        <f>AF27</f>
        <v/>
      </c>
      <c r="AH27" s="24">
        <f>IF($D27="",0,(I27*(Settings!$C$12="Lara")+L27*(Settings!$C$13="Lara")+O27*(Settings!$C$14="Lara")+R27*(Settings!$C$15="Lara")+U27*(Settings!$C$16="Lara")+X27*(Settings!$C$17="Lara")+AA27*(Settings!$C$18="Lara")+AD27*(Settings!$C$19="Lara"))*$F27*Settings!$C$4)</f>
        <v/>
      </c>
      <c r="AI27" s="20" t="n"/>
      <c r="AK27" s="26" t="n"/>
      <c r="AL27" s="26" t="n"/>
      <c r="AM27" s="26" t="n"/>
      <c r="AN27" s="26" t="n"/>
      <c r="AO27" s="26" t="n"/>
      <c r="AP27" s="26" t="n"/>
      <c r="AQ27" s="26" t="n"/>
      <c r="AR27" s="26" t="n"/>
      <c r="AS27" s="26" t="n"/>
      <c r="AT27" s="26" t="n"/>
      <c r="AU27" s="26" t="n"/>
      <c r="AV27" s="26" t="n"/>
      <c r="AW27" s="26" t="n"/>
      <c r="AX27" s="26" t="n"/>
      <c r="AY27" s="26" t="n"/>
      <c r="AZ27" s="26" t="n"/>
      <c r="BA27" s="26" t="n"/>
      <c r="BB27" s="26" t="n"/>
      <c r="BC27" s="26" t="n"/>
      <c r="BD27" s="26" t="n"/>
      <c r="BE27" s="26" t="n"/>
      <c r="BF27" s="26" t="n"/>
      <c r="BG27" s="26" t="n"/>
      <c r="BH27" s="26" t="n"/>
      <c r="BI27" s="26" t="n"/>
      <c r="BJ27" s="26" t="n"/>
      <c r="BK27" s="26" t="n"/>
      <c r="BL27" s="26" t="n"/>
      <c r="BM27" s="26" t="n"/>
      <c r="BN27" s="26" t="n"/>
      <c r="BO27" s="26" t="n"/>
      <c r="BP27" s="26" t="n"/>
      <c r="BQ27" s="26" t="n"/>
      <c r="BR27" s="26" t="n"/>
      <c r="BS27" s="26" t="n"/>
      <c r="BT27" s="26" t="n"/>
      <c r="BU27" s="26" t="n"/>
      <c r="BV27" s="26" t="n"/>
      <c r="BW27" s="26" t="n"/>
      <c r="BX27" s="26" t="n"/>
      <c r="BY27" s="26" t="n"/>
      <c r="BZ27" s="26" t="n"/>
      <c r="CA27" s="26" t="n"/>
      <c r="CB27" s="26" t="n"/>
      <c r="CC27" s="26" t="n"/>
      <c r="CD27" s="26" t="n"/>
      <c r="CE27" s="26" t="n"/>
      <c r="CF27" s="26" t="n"/>
      <c r="CG27" s="26" t="n"/>
      <c r="CH27" s="26" t="n"/>
      <c r="CI27" s="26" t="n"/>
      <c r="CJ27" s="26" t="n"/>
      <c r="CK27" s="26" t="n"/>
      <c r="CL27" s="26" t="n"/>
      <c r="CM27" s="26" t="n"/>
      <c r="CN27" s="26" t="n"/>
      <c r="CO27" s="26" t="n"/>
      <c r="CP27" s="26" t="n"/>
      <c r="CQ27" s="26" t="n"/>
      <c r="CR27" s="26" t="n"/>
    </row>
    <row r="28">
      <c r="A28" s="19" t="n">
        <v>24</v>
      </c>
      <c r="B28" s="20" t="n"/>
      <c r="C28" s="20" t="n"/>
      <c r="D28" s="5" t="n"/>
      <c r="E28" s="21" t="n"/>
      <c r="F28" s="22" t="n"/>
      <c r="G28" s="23" t="n"/>
      <c r="H28" s="5" t="n"/>
      <c r="I28" s="24">
        <f>IF($D28="",0,IF(Settings!$D$12=0,0,MAX(1,ROUND(Settings!$D$12*Settings!$C$5*($D28/Settings!$C$6)^Settings!$E$12*IF(Settings!$C$12="Lara",$E28/$F28,1),0))))</f>
        <v/>
      </c>
      <c r="J28" s="25">
        <f>IF($G28="",0,WORKDAY($G28-1,1,Settings!$J$4:$J$23))</f>
        <v/>
      </c>
      <c r="K28" s="25">
        <f>IF(J28=0,0,IF(I28=0,J28,WORKDAY(J28,I28-1,Settings!$J$4:$J$23)))</f>
        <v/>
      </c>
      <c r="L28" s="24">
        <f>IF($D28="",0,IF(Settings!$D$13=0,0,MAX(1,ROUND(Settings!$D$13*Settings!$C$5*($D28/Settings!$C$6)^Settings!$E$13*IF(Settings!$C$13="Lara",$E28/$F28,1),0))))</f>
        <v/>
      </c>
      <c r="M28" s="25">
        <f>IF(K28=0,0,IF(L28=0,K28,WORKDAY(K28,1+Settings!$C$7,Settings!$J$4:$J$23)))</f>
        <v/>
      </c>
      <c r="N28" s="25">
        <f>IF(M28=0,0,IF(L28=0,M28,WORKDAY(M28,L28-1,Settings!$J$4:$J$23)))</f>
        <v/>
      </c>
      <c r="O28" s="24">
        <f>IF($D28="",0,IF(Settings!$D$14=0,0,MAX(1,ROUND(Settings!$D$14*Settings!$C$5*($D28/Settings!$C$6)^Settings!$E$14*IF(Settings!$C$14="Lara",$E28/$F28,1),0))))</f>
        <v/>
      </c>
      <c r="P28" s="25">
        <f>IF(N28=0,0,IF(O28=0,N28,WORKDAY(N28,1+Settings!$C$7,Settings!$J$4:$J$23)))</f>
        <v/>
      </c>
      <c r="Q28" s="25">
        <f>IF(P28=0,0,IF(O28=0,P28,WORKDAY(P28,O28-1,Settings!$J$4:$J$23)))</f>
        <v/>
      </c>
      <c r="R28" s="24">
        <f>IF($D28="",0,IF(Settings!$D$15=0,0,MAX(1,ROUND(Settings!$D$15*Settings!$C$5*($D28/Settings!$C$6)^Settings!$E$15*IF(Settings!$C$15="Lara",$E28/$F28,1),0))))</f>
        <v/>
      </c>
      <c r="S28" s="25">
        <f>IF(Q28=0,0,IF(R28=0,Q28,WORKDAY(Q28,1+Settings!$C$7,Settings!$J$4:$J$23)))</f>
        <v/>
      </c>
      <c r="T28" s="25">
        <f>IF(S28=0,0,IF(R28=0,S28,WORKDAY(S28,R28-1,Settings!$J$4:$J$23)))</f>
        <v/>
      </c>
      <c r="U28" s="24">
        <f>IF($D28="",0,IF(Settings!$D$16=0,0,MAX(1,ROUND(Settings!$D$16*Settings!$C$5*($D28/Settings!$C$6)^Settings!$E$16*IF(Settings!$C$16="Lara",$E28/$F28,1),0))))</f>
        <v/>
      </c>
      <c r="V28" s="25">
        <f>IF(T28=0,0,IF(U28=0,T28,WORKDAY(T28,1+Settings!$C$7,Settings!$J$4:$J$23)))</f>
        <v/>
      </c>
      <c r="W28" s="25">
        <f>IF(V28=0,0,IF(U28=0,V28,WORKDAY(V28,U28-1,Settings!$J$4:$J$23)))</f>
        <v/>
      </c>
      <c r="X28" s="24">
        <f>IF($D28="",0,IF(Settings!$D$17=0,0,MAX(1,ROUND(Settings!$D$17*Settings!$C$5*($D28/Settings!$C$6)^Settings!$E$17*IF(Settings!$C$17="Lara",$E28/$F28,1),0))))</f>
        <v/>
      </c>
      <c r="Y28" s="25">
        <f>IF(W28=0,0,IF(X28=0,W28,WORKDAY(W28,1+Settings!$C$7,Settings!$J$4:$J$23)))</f>
        <v/>
      </c>
      <c r="Z28" s="25">
        <f>IF(Y28=0,0,IF(X28=0,Y28,WORKDAY(Y28,X28-1,Settings!$J$4:$J$23)))</f>
        <v/>
      </c>
      <c r="AA28" s="24">
        <f>IF($D28="",0,IF(Settings!$D$18=0,0,MAX(1,ROUND(Settings!$D$18*Settings!$C$5*($D28/Settings!$C$6)^Settings!$E$18*IF(Settings!$C$18="Lara",$E28/$F28,1),0))))</f>
        <v/>
      </c>
      <c r="AB28" s="25">
        <f>IF(Z28=0,0,IF(AA28=0,Z28,WORKDAY(Z28,1+Settings!$C$7,Settings!$J$4:$J$23)))</f>
        <v/>
      </c>
      <c r="AC28" s="25">
        <f>IF(AB28=0,0,IF(AA28=0,AB28,WORKDAY(AB28,AA28-1,Settings!$J$4:$J$23)))</f>
        <v/>
      </c>
      <c r="AD28" s="24">
        <f>IF($D28="",0,IF(Settings!$D$19=0,0,MAX(1,ROUND(Settings!$D$19*Settings!$C$5*($D28/Settings!$C$6)^Settings!$E$19*IF(Settings!$C$19="Lara",$E28/$F28,1),0))))</f>
        <v/>
      </c>
      <c r="AE28" s="25">
        <f>IF(AC28=0,0,IF(AD28=0,AC28,WORKDAY(AC28,1+Settings!$C$7,Settings!$J$4:$J$23)))</f>
        <v/>
      </c>
      <c r="AF28" s="25">
        <f>IF(AE28=0,0,IF(AD28=0,AE28,WORKDAY(AE28,AD28-1,Settings!$J$4:$J$23)))</f>
        <v/>
      </c>
      <c r="AG28" s="25">
        <f>AF28</f>
        <v/>
      </c>
      <c r="AH28" s="24">
        <f>IF($D28="",0,(I28*(Settings!$C$12="Lara")+L28*(Settings!$C$13="Lara")+O28*(Settings!$C$14="Lara")+R28*(Settings!$C$15="Lara")+U28*(Settings!$C$16="Lara")+X28*(Settings!$C$17="Lara")+AA28*(Settings!$C$18="Lara")+AD28*(Settings!$C$19="Lara"))*$F28*Settings!$C$4)</f>
        <v/>
      </c>
      <c r="AI28" s="20" t="n"/>
      <c r="AK28" s="26" t="n"/>
      <c r="AL28" s="26" t="n"/>
      <c r="AM28" s="26" t="n"/>
      <c r="AN28" s="26" t="n"/>
      <c r="AO28" s="26" t="n"/>
      <c r="AP28" s="26" t="n"/>
      <c r="AQ28" s="26" t="n"/>
      <c r="AR28" s="26" t="n"/>
      <c r="AS28" s="26" t="n"/>
      <c r="AT28" s="26" t="n"/>
      <c r="AU28" s="26" t="n"/>
      <c r="AV28" s="26" t="n"/>
      <c r="AW28" s="26" t="n"/>
      <c r="AX28" s="26" t="n"/>
      <c r="AY28" s="26" t="n"/>
      <c r="AZ28" s="26" t="n"/>
      <c r="BA28" s="26" t="n"/>
      <c r="BB28" s="26" t="n"/>
      <c r="BC28" s="26" t="n"/>
      <c r="BD28" s="26" t="n"/>
      <c r="BE28" s="26" t="n"/>
      <c r="BF28" s="26" t="n"/>
      <c r="BG28" s="26" t="n"/>
      <c r="BH28" s="26" t="n"/>
      <c r="BI28" s="26" t="n"/>
      <c r="BJ28" s="26" t="n"/>
      <c r="BK28" s="26" t="n"/>
      <c r="BL28" s="26" t="n"/>
      <c r="BM28" s="26" t="n"/>
      <c r="BN28" s="26" t="n"/>
      <c r="BO28" s="26" t="n"/>
      <c r="BP28" s="26" t="n"/>
      <c r="BQ28" s="26" t="n"/>
      <c r="BR28" s="26" t="n"/>
      <c r="BS28" s="26" t="n"/>
      <c r="BT28" s="26" t="n"/>
      <c r="BU28" s="26" t="n"/>
      <c r="BV28" s="26" t="n"/>
      <c r="BW28" s="26" t="n"/>
      <c r="BX28" s="26" t="n"/>
      <c r="BY28" s="26" t="n"/>
      <c r="BZ28" s="26" t="n"/>
      <c r="CA28" s="26" t="n"/>
      <c r="CB28" s="26" t="n"/>
      <c r="CC28" s="26" t="n"/>
      <c r="CD28" s="26" t="n"/>
      <c r="CE28" s="26" t="n"/>
      <c r="CF28" s="26" t="n"/>
      <c r="CG28" s="26" t="n"/>
      <c r="CH28" s="26" t="n"/>
      <c r="CI28" s="26" t="n"/>
      <c r="CJ28" s="26" t="n"/>
      <c r="CK28" s="26" t="n"/>
      <c r="CL28" s="26" t="n"/>
      <c r="CM28" s="26" t="n"/>
      <c r="CN28" s="26" t="n"/>
      <c r="CO28" s="26" t="n"/>
      <c r="CP28" s="26" t="n"/>
      <c r="CQ28" s="26" t="n"/>
      <c r="CR28" s="26" t="n"/>
    </row>
    <row r="29">
      <c r="A29" s="19" t="n">
        <v>25</v>
      </c>
      <c r="B29" s="20" t="n"/>
      <c r="C29" s="20" t="n"/>
      <c r="D29" s="5" t="n"/>
      <c r="E29" s="21" t="n"/>
      <c r="F29" s="22" t="n"/>
      <c r="G29" s="23" t="n"/>
      <c r="H29" s="5" t="n"/>
      <c r="I29" s="24">
        <f>IF($D29="",0,IF(Settings!$D$12=0,0,MAX(1,ROUND(Settings!$D$12*Settings!$C$5*($D29/Settings!$C$6)^Settings!$E$12*IF(Settings!$C$12="Lara",$E29/$F29,1),0))))</f>
        <v/>
      </c>
      <c r="J29" s="25">
        <f>IF($G29="",0,WORKDAY($G29-1,1,Settings!$J$4:$J$23))</f>
        <v/>
      </c>
      <c r="K29" s="25">
        <f>IF(J29=0,0,IF(I29=0,J29,WORKDAY(J29,I29-1,Settings!$J$4:$J$23)))</f>
        <v/>
      </c>
      <c r="L29" s="24">
        <f>IF($D29="",0,IF(Settings!$D$13=0,0,MAX(1,ROUND(Settings!$D$13*Settings!$C$5*($D29/Settings!$C$6)^Settings!$E$13*IF(Settings!$C$13="Lara",$E29/$F29,1),0))))</f>
        <v/>
      </c>
      <c r="M29" s="25">
        <f>IF(K29=0,0,IF(L29=0,K29,WORKDAY(K29,1+Settings!$C$7,Settings!$J$4:$J$23)))</f>
        <v/>
      </c>
      <c r="N29" s="25">
        <f>IF(M29=0,0,IF(L29=0,M29,WORKDAY(M29,L29-1,Settings!$J$4:$J$23)))</f>
        <v/>
      </c>
      <c r="O29" s="24">
        <f>IF($D29="",0,IF(Settings!$D$14=0,0,MAX(1,ROUND(Settings!$D$14*Settings!$C$5*($D29/Settings!$C$6)^Settings!$E$14*IF(Settings!$C$14="Lara",$E29/$F29,1),0))))</f>
        <v/>
      </c>
      <c r="P29" s="25">
        <f>IF(N29=0,0,IF(O29=0,N29,WORKDAY(N29,1+Settings!$C$7,Settings!$J$4:$J$23)))</f>
        <v/>
      </c>
      <c r="Q29" s="25">
        <f>IF(P29=0,0,IF(O29=0,P29,WORKDAY(P29,O29-1,Settings!$J$4:$J$23)))</f>
        <v/>
      </c>
      <c r="R29" s="24">
        <f>IF($D29="",0,IF(Settings!$D$15=0,0,MAX(1,ROUND(Settings!$D$15*Settings!$C$5*($D29/Settings!$C$6)^Settings!$E$15*IF(Settings!$C$15="Lara",$E29/$F29,1),0))))</f>
        <v/>
      </c>
      <c r="S29" s="25">
        <f>IF(Q29=0,0,IF(R29=0,Q29,WORKDAY(Q29,1+Settings!$C$7,Settings!$J$4:$J$23)))</f>
        <v/>
      </c>
      <c r="T29" s="25">
        <f>IF(S29=0,0,IF(R29=0,S29,WORKDAY(S29,R29-1,Settings!$J$4:$J$23)))</f>
        <v/>
      </c>
      <c r="U29" s="24">
        <f>IF($D29="",0,IF(Settings!$D$16=0,0,MAX(1,ROUND(Settings!$D$16*Settings!$C$5*($D29/Settings!$C$6)^Settings!$E$16*IF(Settings!$C$16="Lara",$E29/$F29,1),0))))</f>
        <v/>
      </c>
      <c r="V29" s="25">
        <f>IF(T29=0,0,IF(U29=0,T29,WORKDAY(T29,1+Settings!$C$7,Settings!$J$4:$J$23)))</f>
        <v/>
      </c>
      <c r="W29" s="25">
        <f>IF(V29=0,0,IF(U29=0,V29,WORKDAY(V29,U29-1,Settings!$J$4:$J$23)))</f>
        <v/>
      </c>
      <c r="X29" s="24">
        <f>IF($D29="",0,IF(Settings!$D$17=0,0,MAX(1,ROUND(Settings!$D$17*Settings!$C$5*($D29/Settings!$C$6)^Settings!$E$17*IF(Settings!$C$17="Lara",$E29/$F29,1),0))))</f>
        <v/>
      </c>
      <c r="Y29" s="25">
        <f>IF(W29=0,0,IF(X29=0,W29,WORKDAY(W29,1+Settings!$C$7,Settings!$J$4:$J$23)))</f>
        <v/>
      </c>
      <c r="Z29" s="25">
        <f>IF(Y29=0,0,IF(X29=0,Y29,WORKDAY(Y29,X29-1,Settings!$J$4:$J$23)))</f>
        <v/>
      </c>
      <c r="AA29" s="24">
        <f>IF($D29="",0,IF(Settings!$D$18=0,0,MAX(1,ROUND(Settings!$D$18*Settings!$C$5*($D29/Settings!$C$6)^Settings!$E$18*IF(Settings!$C$18="Lara",$E29/$F29,1),0))))</f>
        <v/>
      </c>
      <c r="AB29" s="25">
        <f>IF(Z29=0,0,IF(AA29=0,Z29,WORKDAY(Z29,1+Settings!$C$7,Settings!$J$4:$J$23)))</f>
        <v/>
      </c>
      <c r="AC29" s="25">
        <f>IF(AB29=0,0,IF(AA29=0,AB29,WORKDAY(AB29,AA29-1,Settings!$J$4:$J$23)))</f>
        <v/>
      </c>
      <c r="AD29" s="24">
        <f>IF($D29="",0,IF(Settings!$D$19=0,0,MAX(1,ROUND(Settings!$D$19*Settings!$C$5*($D29/Settings!$C$6)^Settings!$E$19*IF(Settings!$C$19="Lara",$E29/$F29,1),0))))</f>
        <v/>
      </c>
      <c r="AE29" s="25">
        <f>IF(AC29=0,0,IF(AD29=0,AC29,WORKDAY(AC29,1+Settings!$C$7,Settings!$J$4:$J$23)))</f>
        <v/>
      </c>
      <c r="AF29" s="25">
        <f>IF(AE29=0,0,IF(AD29=0,AE29,WORKDAY(AE29,AD29-1,Settings!$J$4:$J$23)))</f>
        <v/>
      </c>
      <c r="AG29" s="25">
        <f>AF29</f>
        <v/>
      </c>
      <c r="AH29" s="24">
        <f>IF($D29="",0,(I29*(Settings!$C$12="Lara")+L29*(Settings!$C$13="Lara")+O29*(Settings!$C$14="Lara")+R29*(Settings!$C$15="Lara")+U29*(Settings!$C$16="Lara")+X29*(Settings!$C$17="Lara")+AA29*(Settings!$C$18="Lara")+AD29*(Settings!$C$19="Lara"))*$F29*Settings!$C$4)</f>
        <v/>
      </c>
      <c r="AI29" s="20" t="n"/>
      <c r="AK29" s="26" t="n"/>
      <c r="AL29" s="26" t="n"/>
      <c r="AM29" s="26" t="n"/>
      <c r="AN29" s="26" t="n"/>
      <c r="AO29" s="26" t="n"/>
      <c r="AP29" s="26" t="n"/>
      <c r="AQ29" s="26" t="n"/>
      <c r="AR29" s="26" t="n"/>
      <c r="AS29" s="26" t="n"/>
      <c r="AT29" s="26" t="n"/>
      <c r="AU29" s="26" t="n"/>
      <c r="AV29" s="26" t="n"/>
      <c r="AW29" s="26" t="n"/>
      <c r="AX29" s="26" t="n"/>
      <c r="AY29" s="26" t="n"/>
      <c r="AZ29" s="26" t="n"/>
      <c r="BA29" s="26" t="n"/>
      <c r="BB29" s="26" t="n"/>
      <c r="BC29" s="26" t="n"/>
      <c r="BD29" s="26" t="n"/>
      <c r="BE29" s="26" t="n"/>
      <c r="BF29" s="26" t="n"/>
      <c r="BG29" s="26" t="n"/>
      <c r="BH29" s="26" t="n"/>
      <c r="BI29" s="26" t="n"/>
      <c r="BJ29" s="26" t="n"/>
      <c r="BK29" s="26" t="n"/>
      <c r="BL29" s="26" t="n"/>
      <c r="BM29" s="26" t="n"/>
      <c r="BN29" s="26" t="n"/>
      <c r="BO29" s="26" t="n"/>
      <c r="BP29" s="26" t="n"/>
      <c r="BQ29" s="26" t="n"/>
      <c r="BR29" s="26" t="n"/>
      <c r="BS29" s="26" t="n"/>
      <c r="BT29" s="26" t="n"/>
      <c r="BU29" s="26" t="n"/>
      <c r="BV29" s="26" t="n"/>
      <c r="BW29" s="26" t="n"/>
      <c r="BX29" s="26" t="n"/>
      <c r="BY29" s="26" t="n"/>
      <c r="BZ29" s="26" t="n"/>
      <c r="CA29" s="26" t="n"/>
      <c r="CB29" s="26" t="n"/>
      <c r="CC29" s="26" t="n"/>
      <c r="CD29" s="26" t="n"/>
      <c r="CE29" s="26" t="n"/>
      <c r="CF29" s="26" t="n"/>
      <c r="CG29" s="26" t="n"/>
      <c r="CH29" s="26" t="n"/>
      <c r="CI29" s="26" t="n"/>
      <c r="CJ29" s="26" t="n"/>
      <c r="CK29" s="26" t="n"/>
      <c r="CL29" s="26" t="n"/>
      <c r="CM29" s="26" t="n"/>
      <c r="CN29" s="26" t="n"/>
      <c r="CO29" s="26" t="n"/>
      <c r="CP29" s="26" t="n"/>
      <c r="CQ29" s="26" t="n"/>
      <c r="CR29" s="26" t="n"/>
    </row>
    <row r="30">
      <c r="A30" s="19" t="n">
        <v>26</v>
      </c>
      <c r="B30" s="20" t="n"/>
      <c r="C30" s="20" t="n"/>
      <c r="D30" s="5" t="n"/>
      <c r="E30" s="21" t="n"/>
      <c r="F30" s="22" t="n"/>
      <c r="G30" s="23" t="n"/>
      <c r="H30" s="5" t="n"/>
      <c r="I30" s="24">
        <f>IF($D30="",0,IF(Settings!$D$12=0,0,MAX(1,ROUND(Settings!$D$12*Settings!$C$5*($D30/Settings!$C$6)^Settings!$E$12*IF(Settings!$C$12="Lara",$E30/$F30,1),0))))</f>
        <v/>
      </c>
      <c r="J30" s="25">
        <f>IF($G30="",0,WORKDAY($G30-1,1,Settings!$J$4:$J$23))</f>
        <v/>
      </c>
      <c r="K30" s="25">
        <f>IF(J30=0,0,IF(I30=0,J30,WORKDAY(J30,I30-1,Settings!$J$4:$J$23)))</f>
        <v/>
      </c>
      <c r="L30" s="24">
        <f>IF($D30="",0,IF(Settings!$D$13=0,0,MAX(1,ROUND(Settings!$D$13*Settings!$C$5*($D30/Settings!$C$6)^Settings!$E$13*IF(Settings!$C$13="Lara",$E30/$F30,1),0))))</f>
        <v/>
      </c>
      <c r="M30" s="25">
        <f>IF(K30=0,0,IF(L30=0,K30,WORKDAY(K30,1+Settings!$C$7,Settings!$J$4:$J$23)))</f>
        <v/>
      </c>
      <c r="N30" s="25">
        <f>IF(M30=0,0,IF(L30=0,M30,WORKDAY(M30,L30-1,Settings!$J$4:$J$23)))</f>
        <v/>
      </c>
      <c r="O30" s="24">
        <f>IF($D30="",0,IF(Settings!$D$14=0,0,MAX(1,ROUND(Settings!$D$14*Settings!$C$5*($D30/Settings!$C$6)^Settings!$E$14*IF(Settings!$C$14="Lara",$E30/$F30,1),0))))</f>
        <v/>
      </c>
      <c r="P30" s="25">
        <f>IF(N30=0,0,IF(O30=0,N30,WORKDAY(N30,1+Settings!$C$7,Settings!$J$4:$J$23)))</f>
        <v/>
      </c>
      <c r="Q30" s="25">
        <f>IF(P30=0,0,IF(O30=0,P30,WORKDAY(P30,O30-1,Settings!$J$4:$J$23)))</f>
        <v/>
      </c>
      <c r="R30" s="24">
        <f>IF($D30="",0,IF(Settings!$D$15=0,0,MAX(1,ROUND(Settings!$D$15*Settings!$C$5*($D30/Settings!$C$6)^Settings!$E$15*IF(Settings!$C$15="Lara",$E30/$F30,1),0))))</f>
        <v/>
      </c>
      <c r="S30" s="25">
        <f>IF(Q30=0,0,IF(R30=0,Q30,WORKDAY(Q30,1+Settings!$C$7,Settings!$J$4:$J$23)))</f>
        <v/>
      </c>
      <c r="T30" s="25">
        <f>IF(S30=0,0,IF(R30=0,S30,WORKDAY(S30,R30-1,Settings!$J$4:$J$23)))</f>
        <v/>
      </c>
      <c r="U30" s="24">
        <f>IF($D30="",0,IF(Settings!$D$16=0,0,MAX(1,ROUND(Settings!$D$16*Settings!$C$5*($D30/Settings!$C$6)^Settings!$E$16*IF(Settings!$C$16="Lara",$E30/$F30,1),0))))</f>
        <v/>
      </c>
      <c r="V30" s="25">
        <f>IF(T30=0,0,IF(U30=0,T30,WORKDAY(T30,1+Settings!$C$7,Settings!$J$4:$J$23)))</f>
        <v/>
      </c>
      <c r="W30" s="25">
        <f>IF(V30=0,0,IF(U30=0,V30,WORKDAY(V30,U30-1,Settings!$J$4:$J$23)))</f>
        <v/>
      </c>
      <c r="X30" s="24">
        <f>IF($D30="",0,IF(Settings!$D$17=0,0,MAX(1,ROUND(Settings!$D$17*Settings!$C$5*($D30/Settings!$C$6)^Settings!$E$17*IF(Settings!$C$17="Lara",$E30/$F30,1),0))))</f>
        <v/>
      </c>
      <c r="Y30" s="25">
        <f>IF(W30=0,0,IF(X30=0,W30,WORKDAY(W30,1+Settings!$C$7,Settings!$J$4:$J$23)))</f>
        <v/>
      </c>
      <c r="Z30" s="25">
        <f>IF(Y30=0,0,IF(X30=0,Y30,WORKDAY(Y30,X30-1,Settings!$J$4:$J$23)))</f>
        <v/>
      </c>
      <c r="AA30" s="24">
        <f>IF($D30="",0,IF(Settings!$D$18=0,0,MAX(1,ROUND(Settings!$D$18*Settings!$C$5*($D30/Settings!$C$6)^Settings!$E$18*IF(Settings!$C$18="Lara",$E30/$F30,1),0))))</f>
        <v/>
      </c>
      <c r="AB30" s="25">
        <f>IF(Z30=0,0,IF(AA30=0,Z30,WORKDAY(Z30,1+Settings!$C$7,Settings!$J$4:$J$23)))</f>
        <v/>
      </c>
      <c r="AC30" s="25">
        <f>IF(AB30=0,0,IF(AA30=0,AB30,WORKDAY(AB30,AA30-1,Settings!$J$4:$J$23)))</f>
        <v/>
      </c>
      <c r="AD30" s="24">
        <f>IF($D30="",0,IF(Settings!$D$19=0,0,MAX(1,ROUND(Settings!$D$19*Settings!$C$5*($D30/Settings!$C$6)^Settings!$E$19*IF(Settings!$C$19="Lara",$E30/$F30,1),0))))</f>
        <v/>
      </c>
      <c r="AE30" s="25">
        <f>IF(AC30=0,0,IF(AD30=0,AC30,WORKDAY(AC30,1+Settings!$C$7,Settings!$J$4:$J$23)))</f>
        <v/>
      </c>
      <c r="AF30" s="25">
        <f>IF(AE30=0,0,IF(AD30=0,AE30,WORKDAY(AE30,AD30-1,Settings!$J$4:$J$23)))</f>
        <v/>
      </c>
      <c r="AG30" s="25">
        <f>AF30</f>
        <v/>
      </c>
      <c r="AH30" s="24">
        <f>IF($D30="",0,(I30*(Settings!$C$12="Lara")+L30*(Settings!$C$13="Lara")+O30*(Settings!$C$14="Lara")+R30*(Settings!$C$15="Lara")+U30*(Settings!$C$16="Lara")+X30*(Settings!$C$17="Lara")+AA30*(Settings!$C$18="Lara")+AD30*(Settings!$C$19="Lara"))*$F30*Settings!$C$4)</f>
        <v/>
      </c>
      <c r="AI30" s="20" t="n"/>
      <c r="AK30" s="26" t="n"/>
      <c r="AL30" s="26" t="n"/>
      <c r="AM30" s="26" t="n"/>
      <c r="AN30" s="26" t="n"/>
      <c r="AO30" s="26" t="n"/>
      <c r="AP30" s="26" t="n"/>
      <c r="AQ30" s="26" t="n"/>
      <c r="AR30" s="26" t="n"/>
      <c r="AS30" s="26" t="n"/>
      <c r="AT30" s="26" t="n"/>
      <c r="AU30" s="26" t="n"/>
      <c r="AV30" s="26" t="n"/>
      <c r="AW30" s="26" t="n"/>
      <c r="AX30" s="26" t="n"/>
      <c r="AY30" s="26" t="n"/>
      <c r="AZ30" s="26" t="n"/>
      <c r="BA30" s="26" t="n"/>
      <c r="BB30" s="26" t="n"/>
      <c r="BC30" s="26" t="n"/>
      <c r="BD30" s="26" t="n"/>
      <c r="BE30" s="26" t="n"/>
      <c r="BF30" s="26" t="n"/>
      <c r="BG30" s="26" t="n"/>
      <c r="BH30" s="26" t="n"/>
      <c r="BI30" s="26" t="n"/>
      <c r="BJ30" s="26" t="n"/>
      <c r="BK30" s="26" t="n"/>
      <c r="BL30" s="26" t="n"/>
      <c r="BM30" s="26" t="n"/>
      <c r="BN30" s="26" t="n"/>
      <c r="BO30" s="26" t="n"/>
      <c r="BP30" s="26" t="n"/>
      <c r="BQ30" s="26" t="n"/>
      <c r="BR30" s="26" t="n"/>
      <c r="BS30" s="26" t="n"/>
      <c r="BT30" s="26" t="n"/>
      <c r="BU30" s="26" t="n"/>
      <c r="BV30" s="26" t="n"/>
      <c r="BW30" s="26" t="n"/>
      <c r="BX30" s="26" t="n"/>
      <c r="BY30" s="26" t="n"/>
      <c r="BZ30" s="26" t="n"/>
      <c r="CA30" s="26" t="n"/>
      <c r="CB30" s="26" t="n"/>
      <c r="CC30" s="26" t="n"/>
      <c r="CD30" s="26" t="n"/>
      <c r="CE30" s="26" t="n"/>
      <c r="CF30" s="26" t="n"/>
      <c r="CG30" s="26" t="n"/>
      <c r="CH30" s="26" t="n"/>
      <c r="CI30" s="26" t="n"/>
      <c r="CJ30" s="26" t="n"/>
      <c r="CK30" s="26" t="n"/>
      <c r="CL30" s="26" t="n"/>
      <c r="CM30" s="26" t="n"/>
      <c r="CN30" s="26" t="n"/>
      <c r="CO30" s="26" t="n"/>
      <c r="CP30" s="26" t="n"/>
      <c r="CQ30" s="26" t="n"/>
      <c r="CR30" s="26" t="n"/>
    </row>
    <row r="31">
      <c r="A31" s="19" t="n">
        <v>27</v>
      </c>
      <c r="B31" s="20" t="n"/>
      <c r="C31" s="20" t="n"/>
      <c r="D31" s="5" t="n"/>
      <c r="E31" s="21" t="n"/>
      <c r="F31" s="22" t="n"/>
      <c r="G31" s="23" t="n"/>
      <c r="H31" s="5" t="n"/>
      <c r="I31" s="24">
        <f>IF($D31="",0,IF(Settings!$D$12=0,0,MAX(1,ROUND(Settings!$D$12*Settings!$C$5*($D31/Settings!$C$6)^Settings!$E$12*IF(Settings!$C$12="Lara",$E31/$F31,1),0))))</f>
        <v/>
      </c>
      <c r="J31" s="25">
        <f>IF($G31="",0,WORKDAY($G31-1,1,Settings!$J$4:$J$23))</f>
        <v/>
      </c>
      <c r="K31" s="25">
        <f>IF(J31=0,0,IF(I31=0,J31,WORKDAY(J31,I31-1,Settings!$J$4:$J$23)))</f>
        <v/>
      </c>
      <c r="L31" s="24">
        <f>IF($D31="",0,IF(Settings!$D$13=0,0,MAX(1,ROUND(Settings!$D$13*Settings!$C$5*($D31/Settings!$C$6)^Settings!$E$13*IF(Settings!$C$13="Lara",$E31/$F31,1),0))))</f>
        <v/>
      </c>
      <c r="M31" s="25">
        <f>IF(K31=0,0,IF(L31=0,K31,WORKDAY(K31,1+Settings!$C$7,Settings!$J$4:$J$23)))</f>
        <v/>
      </c>
      <c r="N31" s="25">
        <f>IF(M31=0,0,IF(L31=0,M31,WORKDAY(M31,L31-1,Settings!$J$4:$J$23)))</f>
        <v/>
      </c>
      <c r="O31" s="24">
        <f>IF($D31="",0,IF(Settings!$D$14=0,0,MAX(1,ROUND(Settings!$D$14*Settings!$C$5*($D31/Settings!$C$6)^Settings!$E$14*IF(Settings!$C$14="Lara",$E31/$F31,1),0))))</f>
        <v/>
      </c>
      <c r="P31" s="25">
        <f>IF(N31=0,0,IF(O31=0,N31,WORKDAY(N31,1+Settings!$C$7,Settings!$J$4:$J$23)))</f>
        <v/>
      </c>
      <c r="Q31" s="25">
        <f>IF(P31=0,0,IF(O31=0,P31,WORKDAY(P31,O31-1,Settings!$J$4:$J$23)))</f>
        <v/>
      </c>
      <c r="R31" s="24">
        <f>IF($D31="",0,IF(Settings!$D$15=0,0,MAX(1,ROUND(Settings!$D$15*Settings!$C$5*($D31/Settings!$C$6)^Settings!$E$15*IF(Settings!$C$15="Lara",$E31/$F31,1),0))))</f>
        <v/>
      </c>
      <c r="S31" s="25">
        <f>IF(Q31=0,0,IF(R31=0,Q31,WORKDAY(Q31,1+Settings!$C$7,Settings!$J$4:$J$23)))</f>
        <v/>
      </c>
      <c r="T31" s="25">
        <f>IF(S31=0,0,IF(R31=0,S31,WORKDAY(S31,R31-1,Settings!$J$4:$J$23)))</f>
        <v/>
      </c>
      <c r="U31" s="24">
        <f>IF($D31="",0,IF(Settings!$D$16=0,0,MAX(1,ROUND(Settings!$D$16*Settings!$C$5*($D31/Settings!$C$6)^Settings!$E$16*IF(Settings!$C$16="Lara",$E31/$F31,1),0))))</f>
        <v/>
      </c>
      <c r="V31" s="25">
        <f>IF(T31=0,0,IF(U31=0,T31,WORKDAY(T31,1+Settings!$C$7,Settings!$J$4:$J$23)))</f>
        <v/>
      </c>
      <c r="W31" s="25">
        <f>IF(V31=0,0,IF(U31=0,V31,WORKDAY(V31,U31-1,Settings!$J$4:$J$23)))</f>
        <v/>
      </c>
      <c r="X31" s="24">
        <f>IF($D31="",0,IF(Settings!$D$17=0,0,MAX(1,ROUND(Settings!$D$17*Settings!$C$5*($D31/Settings!$C$6)^Settings!$E$17*IF(Settings!$C$17="Lara",$E31/$F31,1),0))))</f>
        <v/>
      </c>
      <c r="Y31" s="25">
        <f>IF(W31=0,0,IF(X31=0,W31,WORKDAY(W31,1+Settings!$C$7,Settings!$J$4:$J$23)))</f>
        <v/>
      </c>
      <c r="Z31" s="25">
        <f>IF(Y31=0,0,IF(X31=0,Y31,WORKDAY(Y31,X31-1,Settings!$J$4:$J$23)))</f>
        <v/>
      </c>
      <c r="AA31" s="24">
        <f>IF($D31="",0,IF(Settings!$D$18=0,0,MAX(1,ROUND(Settings!$D$18*Settings!$C$5*($D31/Settings!$C$6)^Settings!$E$18*IF(Settings!$C$18="Lara",$E31/$F31,1),0))))</f>
        <v/>
      </c>
      <c r="AB31" s="25">
        <f>IF(Z31=0,0,IF(AA31=0,Z31,WORKDAY(Z31,1+Settings!$C$7,Settings!$J$4:$J$23)))</f>
        <v/>
      </c>
      <c r="AC31" s="25">
        <f>IF(AB31=0,0,IF(AA31=0,AB31,WORKDAY(AB31,AA31-1,Settings!$J$4:$J$23)))</f>
        <v/>
      </c>
      <c r="AD31" s="24">
        <f>IF($D31="",0,IF(Settings!$D$19=0,0,MAX(1,ROUND(Settings!$D$19*Settings!$C$5*($D31/Settings!$C$6)^Settings!$E$19*IF(Settings!$C$19="Lara",$E31/$F31,1),0))))</f>
        <v/>
      </c>
      <c r="AE31" s="25">
        <f>IF(AC31=0,0,IF(AD31=0,AC31,WORKDAY(AC31,1+Settings!$C$7,Settings!$J$4:$J$23)))</f>
        <v/>
      </c>
      <c r="AF31" s="25">
        <f>IF(AE31=0,0,IF(AD31=0,AE31,WORKDAY(AE31,AD31-1,Settings!$J$4:$J$23)))</f>
        <v/>
      </c>
      <c r="AG31" s="25">
        <f>AF31</f>
        <v/>
      </c>
      <c r="AH31" s="24">
        <f>IF($D31="",0,(I31*(Settings!$C$12="Lara")+L31*(Settings!$C$13="Lara")+O31*(Settings!$C$14="Lara")+R31*(Settings!$C$15="Lara")+U31*(Settings!$C$16="Lara")+X31*(Settings!$C$17="Lara")+AA31*(Settings!$C$18="Lara")+AD31*(Settings!$C$19="Lara"))*$F31*Settings!$C$4)</f>
        <v/>
      </c>
      <c r="AI31" s="20" t="n"/>
      <c r="AK31" s="26" t="n"/>
      <c r="AL31" s="26" t="n"/>
      <c r="AM31" s="26" t="n"/>
      <c r="AN31" s="26" t="n"/>
      <c r="AO31" s="26" t="n"/>
      <c r="AP31" s="26" t="n"/>
      <c r="AQ31" s="26" t="n"/>
      <c r="AR31" s="26" t="n"/>
      <c r="AS31" s="26" t="n"/>
      <c r="AT31" s="26" t="n"/>
      <c r="AU31" s="26" t="n"/>
      <c r="AV31" s="26" t="n"/>
      <c r="AW31" s="26" t="n"/>
      <c r="AX31" s="26" t="n"/>
      <c r="AY31" s="26" t="n"/>
      <c r="AZ31" s="26" t="n"/>
      <c r="BA31" s="26" t="n"/>
      <c r="BB31" s="26" t="n"/>
      <c r="BC31" s="26" t="n"/>
      <c r="BD31" s="26" t="n"/>
      <c r="BE31" s="26" t="n"/>
      <c r="BF31" s="26" t="n"/>
      <c r="BG31" s="26" t="n"/>
      <c r="BH31" s="26" t="n"/>
      <c r="BI31" s="26" t="n"/>
      <c r="BJ31" s="26" t="n"/>
      <c r="BK31" s="26" t="n"/>
      <c r="BL31" s="26" t="n"/>
      <c r="BM31" s="26" t="n"/>
      <c r="BN31" s="26" t="n"/>
      <c r="BO31" s="26" t="n"/>
      <c r="BP31" s="26" t="n"/>
      <c r="BQ31" s="26" t="n"/>
      <c r="BR31" s="26" t="n"/>
      <c r="BS31" s="26" t="n"/>
      <c r="BT31" s="26" t="n"/>
      <c r="BU31" s="26" t="n"/>
      <c r="BV31" s="26" t="n"/>
      <c r="BW31" s="26" t="n"/>
      <c r="BX31" s="26" t="n"/>
      <c r="BY31" s="26" t="n"/>
      <c r="BZ31" s="26" t="n"/>
      <c r="CA31" s="26" t="n"/>
      <c r="CB31" s="26" t="n"/>
      <c r="CC31" s="26" t="n"/>
      <c r="CD31" s="26" t="n"/>
      <c r="CE31" s="26" t="n"/>
      <c r="CF31" s="26" t="n"/>
      <c r="CG31" s="26" t="n"/>
      <c r="CH31" s="26" t="n"/>
      <c r="CI31" s="26" t="n"/>
      <c r="CJ31" s="26" t="n"/>
      <c r="CK31" s="26" t="n"/>
      <c r="CL31" s="26" t="n"/>
      <c r="CM31" s="26" t="n"/>
      <c r="CN31" s="26" t="n"/>
      <c r="CO31" s="26" t="n"/>
      <c r="CP31" s="26" t="n"/>
      <c r="CQ31" s="26" t="n"/>
      <c r="CR31" s="26" t="n"/>
    </row>
    <row r="32">
      <c r="A32" s="19" t="n">
        <v>28</v>
      </c>
      <c r="B32" s="20" t="n"/>
      <c r="C32" s="20" t="n"/>
      <c r="D32" s="5" t="n"/>
      <c r="E32" s="21" t="n"/>
      <c r="F32" s="22" t="n"/>
      <c r="G32" s="23" t="n"/>
      <c r="H32" s="5" t="n"/>
      <c r="I32" s="24">
        <f>IF($D32="",0,IF(Settings!$D$12=0,0,MAX(1,ROUND(Settings!$D$12*Settings!$C$5*($D32/Settings!$C$6)^Settings!$E$12*IF(Settings!$C$12="Lara",$E32/$F32,1),0))))</f>
        <v/>
      </c>
      <c r="J32" s="25">
        <f>IF($G32="",0,WORKDAY($G32-1,1,Settings!$J$4:$J$23))</f>
        <v/>
      </c>
      <c r="K32" s="25">
        <f>IF(J32=0,0,IF(I32=0,J32,WORKDAY(J32,I32-1,Settings!$J$4:$J$23)))</f>
        <v/>
      </c>
      <c r="L32" s="24">
        <f>IF($D32="",0,IF(Settings!$D$13=0,0,MAX(1,ROUND(Settings!$D$13*Settings!$C$5*($D32/Settings!$C$6)^Settings!$E$13*IF(Settings!$C$13="Lara",$E32/$F32,1),0))))</f>
        <v/>
      </c>
      <c r="M32" s="25">
        <f>IF(K32=0,0,IF(L32=0,K32,WORKDAY(K32,1+Settings!$C$7,Settings!$J$4:$J$23)))</f>
        <v/>
      </c>
      <c r="N32" s="25">
        <f>IF(M32=0,0,IF(L32=0,M32,WORKDAY(M32,L32-1,Settings!$J$4:$J$23)))</f>
        <v/>
      </c>
      <c r="O32" s="24">
        <f>IF($D32="",0,IF(Settings!$D$14=0,0,MAX(1,ROUND(Settings!$D$14*Settings!$C$5*($D32/Settings!$C$6)^Settings!$E$14*IF(Settings!$C$14="Lara",$E32/$F32,1),0))))</f>
        <v/>
      </c>
      <c r="P32" s="25">
        <f>IF(N32=0,0,IF(O32=0,N32,WORKDAY(N32,1+Settings!$C$7,Settings!$J$4:$J$23)))</f>
        <v/>
      </c>
      <c r="Q32" s="25">
        <f>IF(P32=0,0,IF(O32=0,P32,WORKDAY(P32,O32-1,Settings!$J$4:$J$23)))</f>
        <v/>
      </c>
      <c r="R32" s="24">
        <f>IF($D32="",0,IF(Settings!$D$15=0,0,MAX(1,ROUND(Settings!$D$15*Settings!$C$5*($D32/Settings!$C$6)^Settings!$E$15*IF(Settings!$C$15="Lara",$E32/$F32,1),0))))</f>
        <v/>
      </c>
      <c r="S32" s="25">
        <f>IF(Q32=0,0,IF(R32=0,Q32,WORKDAY(Q32,1+Settings!$C$7,Settings!$J$4:$J$23)))</f>
        <v/>
      </c>
      <c r="T32" s="25">
        <f>IF(S32=0,0,IF(R32=0,S32,WORKDAY(S32,R32-1,Settings!$J$4:$J$23)))</f>
        <v/>
      </c>
      <c r="U32" s="24">
        <f>IF($D32="",0,IF(Settings!$D$16=0,0,MAX(1,ROUND(Settings!$D$16*Settings!$C$5*($D32/Settings!$C$6)^Settings!$E$16*IF(Settings!$C$16="Lara",$E32/$F32,1),0))))</f>
        <v/>
      </c>
      <c r="V32" s="25">
        <f>IF(T32=0,0,IF(U32=0,T32,WORKDAY(T32,1+Settings!$C$7,Settings!$J$4:$J$23)))</f>
        <v/>
      </c>
      <c r="W32" s="25">
        <f>IF(V32=0,0,IF(U32=0,V32,WORKDAY(V32,U32-1,Settings!$J$4:$J$23)))</f>
        <v/>
      </c>
      <c r="X32" s="24">
        <f>IF($D32="",0,IF(Settings!$D$17=0,0,MAX(1,ROUND(Settings!$D$17*Settings!$C$5*($D32/Settings!$C$6)^Settings!$E$17*IF(Settings!$C$17="Lara",$E32/$F32,1),0))))</f>
        <v/>
      </c>
      <c r="Y32" s="25">
        <f>IF(W32=0,0,IF(X32=0,W32,WORKDAY(W32,1+Settings!$C$7,Settings!$J$4:$J$23)))</f>
        <v/>
      </c>
      <c r="Z32" s="25">
        <f>IF(Y32=0,0,IF(X32=0,Y32,WORKDAY(Y32,X32-1,Settings!$J$4:$J$23)))</f>
        <v/>
      </c>
      <c r="AA32" s="24">
        <f>IF($D32="",0,IF(Settings!$D$18=0,0,MAX(1,ROUND(Settings!$D$18*Settings!$C$5*($D32/Settings!$C$6)^Settings!$E$18*IF(Settings!$C$18="Lara",$E32/$F32,1),0))))</f>
        <v/>
      </c>
      <c r="AB32" s="25">
        <f>IF(Z32=0,0,IF(AA32=0,Z32,WORKDAY(Z32,1+Settings!$C$7,Settings!$J$4:$J$23)))</f>
        <v/>
      </c>
      <c r="AC32" s="25">
        <f>IF(AB32=0,0,IF(AA32=0,AB32,WORKDAY(AB32,AA32-1,Settings!$J$4:$J$23)))</f>
        <v/>
      </c>
      <c r="AD32" s="24">
        <f>IF($D32="",0,IF(Settings!$D$19=0,0,MAX(1,ROUND(Settings!$D$19*Settings!$C$5*($D32/Settings!$C$6)^Settings!$E$19*IF(Settings!$C$19="Lara",$E32/$F32,1),0))))</f>
        <v/>
      </c>
      <c r="AE32" s="25">
        <f>IF(AC32=0,0,IF(AD32=0,AC32,WORKDAY(AC32,1+Settings!$C$7,Settings!$J$4:$J$23)))</f>
        <v/>
      </c>
      <c r="AF32" s="25">
        <f>IF(AE32=0,0,IF(AD32=0,AE32,WORKDAY(AE32,AD32-1,Settings!$J$4:$J$23)))</f>
        <v/>
      </c>
      <c r="AG32" s="25">
        <f>AF32</f>
        <v/>
      </c>
      <c r="AH32" s="24">
        <f>IF($D32="",0,(I32*(Settings!$C$12="Lara")+L32*(Settings!$C$13="Lara")+O32*(Settings!$C$14="Lara")+R32*(Settings!$C$15="Lara")+U32*(Settings!$C$16="Lara")+X32*(Settings!$C$17="Lara")+AA32*(Settings!$C$18="Lara")+AD32*(Settings!$C$19="Lara"))*$F32*Settings!$C$4)</f>
        <v/>
      </c>
      <c r="AI32" s="20" t="n"/>
      <c r="AK32" s="26" t="n"/>
      <c r="AL32" s="26" t="n"/>
      <c r="AM32" s="26" t="n"/>
      <c r="AN32" s="26" t="n"/>
      <c r="AO32" s="26" t="n"/>
      <c r="AP32" s="26" t="n"/>
      <c r="AQ32" s="26" t="n"/>
      <c r="AR32" s="26" t="n"/>
      <c r="AS32" s="26" t="n"/>
      <c r="AT32" s="26" t="n"/>
      <c r="AU32" s="26" t="n"/>
      <c r="AV32" s="26" t="n"/>
      <c r="AW32" s="26" t="n"/>
      <c r="AX32" s="26" t="n"/>
      <c r="AY32" s="26" t="n"/>
      <c r="AZ32" s="26" t="n"/>
      <c r="BA32" s="26" t="n"/>
      <c r="BB32" s="26" t="n"/>
      <c r="BC32" s="26" t="n"/>
      <c r="BD32" s="26" t="n"/>
      <c r="BE32" s="26" t="n"/>
      <c r="BF32" s="26" t="n"/>
      <c r="BG32" s="26" t="n"/>
      <c r="BH32" s="26" t="n"/>
      <c r="BI32" s="26" t="n"/>
      <c r="BJ32" s="26" t="n"/>
      <c r="BK32" s="26" t="n"/>
      <c r="BL32" s="26" t="n"/>
      <c r="BM32" s="26" t="n"/>
      <c r="BN32" s="26" t="n"/>
      <c r="BO32" s="26" t="n"/>
      <c r="BP32" s="26" t="n"/>
      <c r="BQ32" s="26" t="n"/>
      <c r="BR32" s="26" t="n"/>
      <c r="BS32" s="26" t="n"/>
      <c r="BT32" s="26" t="n"/>
      <c r="BU32" s="26" t="n"/>
      <c r="BV32" s="26" t="n"/>
      <c r="BW32" s="26" t="n"/>
      <c r="BX32" s="26" t="n"/>
      <c r="BY32" s="26" t="n"/>
      <c r="BZ32" s="26" t="n"/>
      <c r="CA32" s="26" t="n"/>
      <c r="CB32" s="26" t="n"/>
      <c r="CC32" s="26" t="n"/>
      <c r="CD32" s="26" t="n"/>
      <c r="CE32" s="26" t="n"/>
      <c r="CF32" s="26" t="n"/>
      <c r="CG32" s="26" t="n"/>
      <c r="CH32" s="26" t="n"/>
      <c r="CI32" s="26" t="n"/>
      <c r="CJ32" s="26" t="n"/>
      <c r="CK32" s="26" t="n"/>
      <c r="CL32" s="26" t="n"/>
      <c r="CM32" s="26" t="n"/>
      <c r="CN32" s="26" t="n"/>
      <c r="CO32" s="26" t="n"/>
      <c r="CP32" s="26" t="n"/>
      <c r="CQ32" s="26" t="n"/>
      <c r="CR32" s="26" t="n"/>
    </row>
    <row r="33">
      <c r="A33" s="19" t="n">
        <v>29</v>
      </c>
      <c r="B33" s="20" t="n"/>
      <c r="C33" s="20" t="n"/>
      <c r="D33" s="5" t="n"/>
      <c r="E33" s="21" t="n"/>
      <c r="F33" s="22" t="n"/>
      <c r="G33" s="23" t="n"/>
      <c r="H33" s="5" t="n"/>
      <c r="I33" s="24">
        <f>IF($D33="",0,IF(Settings!$D$12=0,0,MAX(1,ROUND(Settings!$D$12*Settings!$C$5*($D33/Settings!$C$6)^Settings!$E$12*IF(Settings!$C$12="Lara",$E33/$F33,1),0))))</f>
        <v/>
      </c>
      <c r="J33" s="25">
        <f>IF($G33="",0,WORKDAY($G33-1,1,Settings!$J$4:$J$23))</f>
        <v/>
      </c>
      <c r="K33" s="25">
        <f>IF(J33=0,0,IF(I33=0,J33,WORKDAY(J33,I33-1,Settings!$J$4:$J$23)))</f>
        <v/>
      </c>
      <c r="L33" s="24">
        <f>IF($D33="",0,IF(Settings!$D$13=0,0,MAX(1,ROUND(Settings!$D$13*Settings!$C$5*($D33/Settings!$C$6)^Settings!$E$13*IF(Settings!$C$13="Lara",$E33/$F33,1),0))))</f>
        <v/>
      </c>
      <c r="M33" s="25">
        <f>IF(K33=0,0,IF(L33=0,K33,WORKDAY(K33,1+Settings!$C$7,Settings!$J$4:$J$23)))</f>
        <v/>
      </c>
      <c r="N33" s="25">
        <f>IF(M33=0,0,IF(L33=0,M33,WORKDAY(M33,L33-1,Settings!$J$4:$J$23)))</f>
        <v/>
      </c>
      <c r="O33" s="24">
        <f>IF($D33="",0,IF(Settings!$D$14=0,0,MAX(1,ROUND(Settings!$D$14*Settings!$C$5*($D33/Settings!$C$6)^Settings!$E$14*IF(Settings!$C$14="Lara",$E33/$F33,1),0))))</f>
        <v/>
      </c>
      <c r="P33" s="25">
        <f>IF(N33=0,0,IF(O33=0,N33,WORKDAY(N33,1+Settings!$C$7,Settings!$J$4:$J$23)))</f>
        <v/>
      </c>
      <c r="Q33" s="25">
        <f>IF(P33=0,0,IF(O33=0,P33,WORKDAY(P33,O33-1,Settings!$J$4:$J$23)))</f>
        <v/>
      </c>
      <c r="R33" s="24">
        <f>IF($D33="",0,IF(Settings!$D$15=0,0,MAX(1,ROUND(Settings!$D$15*Settings!$C$5*($D33/Settings!$C$6)^Settings!$E$15*IF(Settings!$C$15="Lara",$E33/$F33,1),0))))</f>
        <v/>
      </c>
      <c r="S33" s="25">
        <f>IF(Q33=0,0,IF(R33=0,Q33,WORKDAY(Q33,1+Settings!$C$7,Settings!$J$4:$J$23)))</f>
        <v/>
      </c>
      <c r="T33" s="25">
        <f>IF(S33=0,0,IF(R33=0,S33,WORKDAY(S33,R33-1,Settings!$J$4:$J$23)))</f>
        <v/>
      </c>
      <c r="U33" s="24">
        <f>IF($D33="",0,IF(Settings!$D$16=0,0,MAX(1,ROUND(Settings!$D$16*Settings!$C$5*($D33/Settings!$C$6)^Settings!$E$16*IF(Settings!$C$16="Lara",$E33/$F33,1),0))))</f>
        <v/>
      </c>
      <c r="V33" s="25">
        <f>IF(T33=0,0,IF(U33=0,T33,WORKDAY(T33,1+Settings!$C$7,Settings!$J$4:$J$23)))</f>
        <v/>
      </c>
      <c r="W33" s="25">
        <f>IF(V33=0,0,IF(U33=0,V33,WORKDAY(V33,U33-1,Settings!$J$4:$J$23)))</f>
        <v/>
      </c>
      <c r="X33" s="24">
        <f>IF($D33="",0,IF(Settings!$D$17=0,0,MAX(1,ROUND(Settings!$D$17*Settings!$C$5*($D33/Settings!$C$6)^Settings!$E$17*IF(Settings!$C$17="Lara",$E33/$F33,1),0))))</f>
        <v/>
      </c>
      <c r="Y33" s="25">
        <f>IF(W33=0,0,IF(X33=0,W33,WORKDAY(W33,1+Settings!$C$7,Settings!$J$4:$J$23)))</f>
        <v/>
      </c>
      <c r="Z33" s="25">
        <f>IF(Y33=0,0,IF(X33=0,Y33,WORKDAY(Y33,X33-1,Settings!$J$4:$J$23)))</f>
        <v/>
      </c>
      <c r="AA33" s="24">
        <f>IF($D33="",0,IF(Settings!$D$18=0,0,MAX(1,ROUND(Settings!$D$18*Settings!$C$5*($D33/Settings!$C$6)^Settings!$E$18*IF(Settings!$C$18="Lara",$E33/$F33,1),0))))</f>
        <v/>
      </c>
      <c r="AB33" s="25">
        <f>IF(Z33=0,0,IF(AA33=0,Z33,WORKDAY(Z33,1+Settings!$C$7,Settings!$J$4:$J$23)))</f>
        <v/>
      </c>
      <c r="AC33" s="25">
        <f>IF(AB33=0,0,IF(AA33=0,AB33,WORKDAY(AB33,AA33-1,Settings!$J$4:$J$23)))</f>
        <v/>
      </c>
      <c r="AD33" s="24">
        <f>IF($D33="",0,IF(Settings!$D$19=0,0,MAX(1,ROUND(Settings!$D$19*Settings!$C$5*($D33/Settings!$C$6)^Settings!$E$19*IF(Settings!$C$19="Lara",$E33/$F33,1),0))))</f>
        <v/>
      </c>
      <c r="AE33" s="25">
        <f>IF(AC33=0,0,IF(AD33=0,AC33,WORKDAY(AC33,1+Settings!$C$7,Settings!$J$4:$J$23)))</f>
        <v/>
      </c>
      <c r="AF33" s="25">
        <f>IF(AE33=0,0,IF(AD33=0,AE33,WORKDAY(AE33,AD33-1,Settings!$J$4:$J$23)))</f>
        <v/>
      </c>
      <c r="AG33" s="25">
        <f>AF33</f>
        <v/>
      </c>
      <c r="AH33" s="24">
        <f>IF($D33="",0,(I33*(Settings!$C$12="Lara")+L33*(Settings!$C$13="Lara")+O33*(Settings!$C$14="Lara")+R33*(Settings!$C$15="Lara")+U33*(Settings!$C$16="Lara")+X33*(Settings!$C$17="Lara")+AA33*(Settings!$C$18="Lara")+AD33*(Settings!$C$19="Lara"))*$F33*Settings!$C$4)</f>
        <v/>
      </c>
      <c r="AI33" s="20" t="n"/>
      <c r="AK33" s="26" t="n"/>
      <c r="AL33" s="26" t="n"/>
      <c r="AM33" s="26" t="n"/>
      <c r="AN33" s="26" t="n"/>
      <c r="AO33" s="26" t="n"/>
      <c r="AP33" s="26" t="n"/>
      <c r="AQ33" s="26" t="n"/>
      <c r="AR33" s="26" t="n"/>
      <c r="AS33" s="26" t="n"/>
      <c r="AT33" s="26" t="n"/>
      <c r="AU33" s="26" t="n"/>
      <c r="AV33" s="26" t="n"/>
      <c r="AW33" s="26" t="n"/>
      <c r="AX33" s="26" t="n"/>
      <c r="AY33" s="26" t="n"/>
      <c r="AZ33" s="26" t="n"/>
      <c r="BA33" s="26" t="n"/>
      <c r="BB33" s="26" t="n"/>
      <c r="BC33" s="26" t="n"/>
      <c r="BD33" s="26" t="n"/>
      <c r="BE33" s="26" t="n"/>
      <c r="BF33" s="26" t="n"/>
      <c r="BG33" s="26" t="n"/>
      <c r="BH33" s="26" t="n"/>
      <c r="BI33" s="26" t="n"/>
      <c r="BJ33" s="26" t="n"/>
      <c r="BK33" s="26" t="n"/>
      <c r="BL33" s="26" t="n"/>
      <c r="BM33" s="26" t="n"/>
      <c r="BN33" s="26" t="n"/>
      <c r="BO33" s="26" t="n"/>
      <c r="BP33" s="26" t="n"/>
      <c r="BQ33" s="26" t="n"/>
      <c r="BR33" s="26" t="n"/>
      <c r="BS33" s="26" t="n"/>
      <c r="BT33" s="26" t="n"/>
      <c r="BU33" s="26" t="n"/>
      <c r="BV33" s="26" t="n"/>
      <c r="BW33" s="26" t="n"/>
      <c r="BX33" s="26" t="n"/>
      <c r="BY33" s="26" t="n"/>
      <c r="BZ33" s="26" t="n"/>
      <c r="CA33" s="26" t="n"/>
      <c r="CB33" s="26" t="n"/>
      <c r="CC33" s="26" t="n"/>
      <c r="CD33" s="26" t="n"/>
      <c r="CE33" s="26" t="n"/>
      <c r="CF33" s="26" t="n"/>
      <c r="CG33" s="26" t="n"/>
      <c r="CH33" s="26" t="n"/>
      <c r="CI33" s="26" t="n"/>
      <c r="CJ33" s="26" t="n"/>
      <c r="CK33" s="26" t="n"/>
      <c r="CL33" s="26" t="n"/>
      <c r="CM33" s="26" t="n"/>
      <c r="CN33" s="26" t="n"/>
      <c r="CO33" s="26" t="n"/>
      <c r="CP33" s="26" t="n"/>
      <c r="CQ33" s="26" t="n"/>
      <c r="CR33" s="26" t="n"/>
    </row>
    <row r="34">
      <c r="A34" s="19" t="n">
        <v>30</v>
      </c>
      <c r="B34" s="20" t="n"/>
      <c r="C34" s="20" t="n"/>
      <c r="D34" s="5" t="n"/>
      <c r="E34" s="21" t="n"/>
      <c r="F34" s="22" t="n"/>
      <c r="G34" s="23" t="n"/>
      <c r="H34" s="5" t="n"/>
      <c r="I34" s="24">
        <f>IF($D34="",0,IF(Settings!$D$12=0,0,MAX(1,ROUND(Settings!$D$12*Settings!$C$5*($D34/Settings!$C$6)^Settings!$E$12*IF(Settings!$C$12="Lara",$E34/$F34,1),0))))</f>
        <v/>
      </c>
      <c r="J34" s="25">
        <f>IF($G34="",0,WORKDAY($G34-1,1,Settings!$J$4:$J$23))</f>
        <v/>
      </c>
      <c r="K34" s="25">
        <f>IF(J34=0,0,IF(I34=0,J34,WORKDAY(J34,I34-1,Settings!$J$4:$J$23)))</f>
        <v/>
      </c>
      <c r="L34" s="24">
        <f>IF($D34="",0,IF(Settings!$D$13=0,0,MAX(1,ROUND(Settings!$D$13*Settings!$C$5*($D34/Settings!$C$6)^Settings!$E$13*IF(Settings!$C$13="Lara",$E34/$F34,1),0))))</f>
        <v/>
      </c>
      <c r="M34" s="25">
        <f>IF(K34=0,0,IF(L34=0,K34,WORKDAY(K34,1+Settings!$C$7,Settings!$J$4:$J$23)))</f>
        <v/>
      </c>
      <c r="N34" s="25">
        <f>IF(M34=0,0,IF(L34=0,M34,WORKDAY(M34,L34-1,Settings!$J$4:$J$23)))</f>
        <v/>
      </c>
      <c r="O34" s="24">
        <f>IF($D34="",0,IF(Settings!$D$14=0,0,MAX(1,ROUND(Settings!$D$14*Settings!$C$5*($D34/Settings!$C$6)^Settings!$E$14*IF(Settings!$C$14="Lara",$E34/$F34,1),0))))</f>
        <v/>
      </c>
      <c r="P34" s="25">
        <f>IF(N34=0,0,IF(O34=0,N34,WORKDAY(N34,1+Settings!$C$7,Settings!$J$4:$J$23)))</f>
        <v/>
      </c>
      <c r="Q34" s="25">
        <f>IF(P34=0,0,IF(O34=0,P34,WORKDAY(P34,O34-1,Settings!$J$4:$J$23)))</f>
        <v/>
      </c>
      <c r="R34" s="24">
        <f>IF($D34="",0,IF(Settings!$D$15=0,0,MAX(1,ROUND(Settings!$D$15*Settings!$C$5*($D34/Settings!$C$6)^Settings!$E$15*IF(Settings!$C$15="Lara",$E34/$F34,1),0))))</f>
        <v/>
      </c>
      <c r="S34" s="25">
        <f>IF(Q34=0,0,IF(R34=0,Q34,WORKDAY(Q34,1+Settings!$C$7,Settings!$J$4:$J$23)))</f>
        <v/>
      </c>
      <c r="T34" s="25">
        <f>IF(S34=0,0,IF(R34=0,S34,WORKDAY(S34,R34-1,Settings!$J$4:$J$23)))</f>
        <v/>
      </c>
      <c r="U34" s="24">
        <f>IF($D34="",0,IF(Settings!$D$16=0,0,MAX(1,ROUND(Settings!$D$16*Settings!$C$5*($D34/Settings!$C$6)^Settings!$E$16*IF(Settings!$C$16="Lara",$E34/$F34,1),0))))</f>
        <v/>
      </c>
      <c r="V34" s="25">
        <f>IF(T34=0,0,IF(U34=0,T34,WORKDAY(T34,1+Settings!$C$7,Settings!$J$4:$J$23)))</f>
        <v/>
      </c>
      <c r="W34" s="25">
        <f>IF(V34=0,0,IF(U34=0,V34,WORKDAY(V34,U34-1,Settings!$J$4:$J$23)))</f>
        <v/>
      </c>
      <c r="X34" s="24">
        <f>IF($D34="",0,IF(Settings!$D$17=0,0,MAX(1,ROUND(Settings!$D$17*Settings!$C$5*($D34/Settings!$C$6)^Settings!$E$17*IF(Settings!$C$17="Lara",$E34/$F34,1),0))))</f>
        <v/>
      </c>
      <c r="Y34" s="25">
        <f>IF(W34=0,0,IF(X34=0,W34,WORKDAY(W34,1+Settings!$C$7,Settings!$J$4:$J$23)))</f>
        <v/>
      </c>
      <c r="Z34" s="25">
        <f>IF(Y34=0,0,IF(X34=0,Y34,WORKDAY(Y34,X34-1,Settings!$J$4:$J$23)))</f>
        <v/>
      </c>
      <c r="AA34" s="24">
        <f>IF($D34="",0,IF(Settings!$D$18=0,0,MAX(1,ROUND(Settings!$D$18*Settings!$C$5*($D34/Settings!$C$6)^Settings!$E$18*IF(Settings!$C$18="Lara",$E34/$F34,1),0))))</f>
        <v/>
      </c>
      <c r="AB34" s="25">
        <f>IF(Z34=0,0,IF(AA34=0,Z34,WORKDAY(Z34,1+Settings!$C$7,Settings!$J$4:$J$23)))</f>
        <v/>
      </c>
      <c r="AC34" s="25">
        <f>IF(AB34=0,0,IF(AA34=0,AB34,WORKDAY(AB34,AA34-1,Settings!$J$4:$J$23)))</f>
        <v/>
      </c>
      <c r="AD34" s="24">
        <f>IF($D34="",0,IF(Settings!$D$19=0,0,MAX(1,ROUND(Settings!$D$19*Settings!$C$5*($D34/Settings!$C$6)^Settings!$E$19*IF(Settings!$C$19="Lara",$E34/$F34,1),0))))</f>
        <v/>
      </c>
      <c r="AE34" s="25">
        <f>IF(AC34=0,0,IF(AD34=0,AC34,WORKDAY(AC34,1+Settings!$C$7,Settings!$J$4:$J$23)))</f>
        <v/>
      </c>
      <c r="AF34" s="25">
        <f>IF(AE34=0,0,IF(AD34=0,AE34,WORKDAY(AE34,AD34-1,Settings!$J$4:$J$23)))</f>
        <v/>
      </c>
      <c r="AG34" s="25">
        <f>AF34</f>
        <v/>
      </c>
      <c r="AH34" s="24">
        <f>IF($D34="",0,(I34*(Settings!$C$12="Lara")+L34*(Settings!$C$13="Lara")+O34*(Settings!$C$14="Lara")+R34*(Settings!$C$15="Lara")+U34*(Settings!$C$16="Lara")+X34*(Settings!$C$17="Lara")+AA34*(Settings!$C$18="Lara")+AD34*(Settings!$C$19="Lara"))*$F34*Settings!$C$4)</f>
        <v/>
      </c>
      <c r="AI34" s="20" t="n"/>
      <c r="AK34" s="26" t="n"/>
      <c r="AL34" s="26" t="n"/>
      <c r="AM34" s="26" t="n"/>
      <c r="AN34" s="26" t="n"/>
      <c r="AO34" s="26" t="n"/>
      <c r="AP34" s="26" t="n"/>
      <c r="AQ34" s="26" t="n"/>
      <c r="AR34" s="26" t="n"/>
      <c r="AS34" s="26" t="n"/>
      <c r="AT34" s="26" t="n"/>
      <c r="AU34" s="26" t="n"/>
      <c r="AV34" s="26" t="n"/>
      <c r="AW34" s="26" t="n"/>
      <c r="AX34" s="26" t="n"/>
      <c r="AY34" s="26" t="n"/>
      <c r="AZ34" s="26" t="n"/>
      <c r="BA34" s="26" t="n"/>
      <c r="BB34" s="26" t="n"/>
      <c r="BC34" s="26" t="n"/>
      <c r="BD34" s="26" t="n"/>
      <c r="BE34" s="26" t="n"/>
      <c r="BF34" s="26" t="n"/>
      <c r="BG34" s="26" t="n"/>
      <c r="BH34" s="26" t="n"/>
      <c r="BI34" s="26" t="n"/>
      <c r="BJ34" s="26" t="n"/>
      <c r="BK34" s="26" t="n"/>
      <c r="BL34" s="26" t="n"/>
      <c r="BM34" s="26" t="n"/>
      <c r="BN34" s="26" t="n"/>
      <c r="BO34" s="26" t="n"/>
      <c r="BP34" s="26" t="n"/>
      <c r="BQ34" s="26" t="n"/>
      <c r="BR34" s="26" t="n"/>
      <c r="BS34" s="26" t="n"/>
      <c r="BT34" s="26" t="n"/>
      <c r="BU34" s="26" t="n"/>
      <c r="BV34" s="26" t="n"/>
      <c r="BW34" s="26" t="n"/>
      <c r="BX34" s="26" t="n"/>
      <c r="BY34" s="26" t="n"/>
      <c r="BZ34" s="26" t="n"/>
      <c r="CA34" s="26" t="n"/>
      <c r="CB34" s="26" t="n"/>
      <c r="CC34" s="26" t="n"/>
      <c r="CD34" s="26" t="n"/>
      <c r="CE34" s="26" t="n"/>
      <c r="CF34" s="26" t="n"/>
      <c r="CG34" s="26" t="n"/>
      <c r="CH34" s="26" t="n"/>
      <c r="CI34" s="26" t="n"/>
      <c r="CJ34" s="26" t="n"/>
      <c r="CK34" s="26" t="n"/>
      <c r="CL34" s="26" t="n"/>
      <c r="CM34" s="26" t="n"/>
      <c r="CN34" s="26" t="n"/>
      <c r="CO34" s="26" t="n"/>
      <c r="CP34" s="26" t="n"/>
      <c r="CQ34" s="26" t="n"/>
      <c r="CR34" s="26" t="n"/>
    </row>
    <row r="35">
      <c r="B35" s="3" t="inlineStr">
        <is>
          <t>Lara load</t>
        </is>
      </c>
      <c r="C35" s="27" t="inlineStr">
        <is>
          <t>Her phases only. Above 100% means overbooked.</t>
        </is>
      </c>
      <c r="AK35" s="28">
        <f>(SUMPRODUCT(($I$5:$I$34&gt;0)*(($K$5:$K$34-($K$5:$K$34&gt;AK$4+4)*($K$5:$K$34-AK$4-4)-$J$5:$J$34-($J$5:$J$34&lt;AK$4)*(AK$4-$J$5:$J$34)+1)&gt;0)*($K$5:$K$34-($K$5:$K$34&gt;AK$4+4)*($K$5:$K$34-AK$4-4)-$J$5:$J$34-($J$5:$J$34&lt;AK$4)*(AK$4-$J$5:$J$34)+1)*$F$5:$F$34)*(Settings!$C$12="Lara")+SUMPRODUCT(($L$5:$L$34&gt;0)*(($N$5:$N$34-($N$5:$N$34&gt;AK$4+4)*($N$5:$N$34-AK$4-4)-$M$5:$M$34-($M$5:$M$34&lt;AK$4)*(AK$4-$M$5:$M$34)+1)&gt;0)*($N$5:$N$34-($N$5:$N$34&gt;AK$4+4)*($N$5:$N$34-AK$4-4)-$M$5:$M$34-($M$5:$M$34&lt;AK$4)*(AK$4-$M$5:$M$34)+1)*$F$5:$F$34)*(Settings!$C$13="Lara")+SUMPRODUCT(($O$5:$O$34&gt;0)*(($Q$5:$Q$34-($Q$5:$Q$34&gt;AK$4+4)*($Q$5:$Q$34-AK$4-4)-$P$5:$P$34-($P$5:$P$34&lt;AK$4)*(AK$4-$P$5:$P$34)+1)&gt;0)*($Q$5:$Q$34-($Q$5:$Q$34&gt;AK$4+4)*($Q$5:$Q$34-AK$4-4)-$P$5:$P$34-($P$5:$P$34&lt;AK$4)*(AK$4-$P$5:$P$34)+1)*$F$5:$F$34)*(Settings!$C$14="Lara")+SUMPRODUCT(($R$5:$R$34&gt;0)*(($T$5:$T$34-($T$5:$T$34&gt;AK$4+4)*($T$5:$T$34-AK$4-4)-$S$5:$S$34-($S$5:$S$34&lt;AK$4)*(AK$4-$S$5:$S$34)+1)&gt;0)*($T$5:$T$34-($T$5:$T$34&gt;AK$4+4)*($T$5:$T$34-AK$4-4)-$S$5:$S$34-($S$5:$S$34&lt;AK$4)*(AK$4-$S$5:$S$34)+1)*$F$5:$F$34)*(Settings!$C$15="Lara")+SUMPRODUCT(($U$5:$U$34&gt;0)*(($W$5:$W$34-($W$5:$W$34&gt;AK$4+4)*($W$5:$W$34-AK$4-4)-$V$5:$V$34-($V$5:$V$34&lt;AK$4)*(AK$4-$V$5:$V$34)+1)&gt;0)*($W$5:$W$34-($W$5:$W$34&gt;AK$4+4)*($W$5:$W$34-AK$4-4)-$V$5:$V$34-($V$5:$V$34&lt;AK$4)*(AK$4-$V$5:$V$34)+1)*$F$5:$F$34)*(Settings!$C$16="Lara")+SUMPRODUCT(($X$5:$X$34&gt;0)*(($Z$5:$Z$34-($Z$5:$Z$34&gt;AK$4+4)*($Z$5:$Z$34-AK$4-4)-$Y$5:$Y$34-($Y$5:$Y$34&lt;AK$4)*(AK$4-$Y$5:$Y$34)+1)&gt;0)*($Z$5:$Z$34-($Z$5:$Z$34&gt;AK$4+4)*($Z$5:$Z$34-AK$4-4)-$Y$5:$Y$34-($Y$5:$Y$34&lt;AK$4)*(AK$4-$Y$5:$Y$34)+1)*$F$5:$F$34)*(Settings!$C$17="Lara")+SUMPRODUCT(($AA$5:$AA$34&gt;0)*(($AC$5:$AC$34-($AC$5:$AC$34&gt;AK$4+4)*($AC$5:$AC$34-AK$4-4)-$AB$5:$AB$34-($AB$5:$AB$34&lt;AK$4)*(AK$4-$AB$5:$AB$34)+1)&gt;0)*($AC$5:$AC$34-($AC$5:$AC$34&gt;AK$4+4)*($AC$5:$AC$34-AK$4-4)-$AB$5:$AB$34-($AB$5:$AB$34&lt;AK$4)*(AK$4-$AB$5:$AB$34)+1)*$F$5:$F$34)*(Settings!$C$18="Lara")+SUMPRODUCT(($AD$5:$AD$34&gt;0)*(($AF$5:$AF$34-($AF$5:$AF$34&gt;AK$4+4)*($AF$5:$AF$34-AK$4-4)-$AE$5:$AE$34-($AE$5:$AE$34&lt;AK$4)*(AK$4-$AE$5:$AE$34)+1)&gt;0)*($AF$5:$AF$34-($AF$5:$AF$34&gt;AK$4+4)*($AF$5:$AF$34-AK$4-4)-$AE$5:$AE$34-($AE$5:$AE$34&lt;AK$4)*(AK$4-$AE$5:$AE$34)+1)*$F$5:$F$34)*(Settings!$C$19="Lara"))/Settings!$C$5</f>
        <v/>
      </c>
      <c r="AL35" s="28">
        <f>(SUMPRODUCT(($I$5:$I$34&gt;0)*(($K$5:$K$34-($K$5:$K$34&gt;AL$4+4)*($K$5:$K$34-AL$4-4)-$J$5:$J$34-($J$5:$J$34&lt;AL$4)*(AL$4-$J$5:$J$34)+1)&gt;0)*($K$5:$K$34-($K$5:$K$34&gt;AL$4+4)*($K$5:$K$34-AL$4-4)-$J$5:$J$34-($J$5:$J$34&lt;AL$4)*(AL$4-$J$5:$J$34)+1)*$F$5:$F$34)*(Settings!$C$12="Lara")+SUMPRODUCT(($L$5:$L$34&gt;0)*(($N$5:$N$34-($N$5:$N$34&gt;AL$4+4)*($N$5:$N$34-AL$4-4)-$M$5:$M$34-($M$5:$M$34&lt;AL$4)*(AL$4-$M$5:$M$34)+1)&gt;0)*($N$5:$N$34-($N$5:$N$34&gt;AL$4+4)*($N$5:$N$34-AL$4-4)-$M$5:$M$34-($M$5:$M$34&lt;AL$4)*(AL$4-$M$5:$M$34)+1)*$F$5:$F$34)*(Settings!$C$13="Lara")+SUMPRODUCT(($O$5:$O$34&gt;0)*(($Q$5:$Q$34-($Q$5:$Q$34&gt;AL$4+4)*($Q$5:$Q$34-AL$4-4)-$P$5:$P$34-($P$5:$P$34&lt;AL$4)*(AL$4-$P$5:$P$34)+1)&gt;0)*($Q$5:$Q$34-($Q$5:$Q$34&gt;AL$4+4)*($Q$5:$Q$34-AL$4-4)-$P$5:$P$34-($P$5:$P$34&lt;AL$4)*(AL$4-$P$5:$P$34)+1)*$F$5:$F$34)*(Settings!$C$14="Lara")+SUMPRODUCT(($R$5:$R$34&gt;0)*(($T$5:$T$34-($T$5:$T$34&gt;AL$4+4)*($T$5:$T$34-AL$4-4)-$S$5:$S$34-($S$5:$S$34&lt;AL$4)*(AL$4-$S$5:$S$34)+1)&gt;0)*($T$5:$T$34-($T$5:$T$34&gt;AL$4+4)*($T$5:$T$34-AL$4-4)-$S$5:$S$34-($S$5:$S$34&lt;AL$4)*(AL$4-$S$5:$S$34)+1)*$F$5:$F$34)*(Settings!$C$15="Lara")+SUMPRODUCT(($U$5:$U$34&gt;0)*(($W$5:$W$34-($W$5:$W$34&gt;AL$4+4)*($W$5:$W$34-AL$4-4)-$V$5:$V$34-($V$5:$V$34&lt;AL$4)*(AL$4-$V$5:$V$34)+1)&gt;0)*($W$5:$W$34-($W$5:$W$34&gt;AL$4+4)*($W$5:$W$34-AL$4-4)-$V$5:$V$34-($V$5:$V$34&lt;AL$4)*(AL$4-$V$5:$V$34)+1)*$F$5:$F$34)*(Settings!$C$16="Lara")+SUMPRODUCT(($X$5:$X$34&gt;0)*(($Z$5:$Z$34-($Z$5:$Z$34&gt;AL$4+4)*($Z$5:$Z$34-AL$4-4)-$Y$5:$Y$34-($Y$5:$Y$34&lt;AL$4)*(AL$4-$Y$5:$Y$34)+1)&gt;0)*($Z$5:$Z$34-($Z$5:$Z$34&gt;AL$4+4)*($Z$5:$Z$34-AL$4-4)-$Y$5:$Y$34-($Y$5:$Y$34&lt;AL$4)*(AL$4-$Y$5:$Y$34)+1)*$F$5:$F$34)*(Settings!$C$17="Lara")+SUMPRODUCT(($AA$5:$AA$34&gt;0)*(($AC$5:$AC$34-($AC$5:$AC$34&gt;AL$4+4)*($AC$5:$AC$34-AL$4-4)-$AB$5:$AB$34-($AB$5:$AB$34&lt;AL$4)*(AL$4-$AB$5:$AB$34)+1)&gt;0)*($AC$5:$AC$34-($AC$5:$AC$34&gt;AL$4+4)*($AC$5:$AC$34-AL$4-4)-$AB$5:$AB$34-($AB$5:$AB$34&lt;AL$4)*(AL$4-$AB$5:$AB$34)+1)*$F$5:$F$34)*(Settings!$C$18="Lara")+SUMPRODUCT(($AD$5:$AD$34&gt;0)*(($AF$5:$AF$34-($AF$5:$AF$34&gt;AL$4+4)*($AF$5:$AF$34-AL$4-4)-$AE$5:$AE$34-($AE$5:$AE$34&lt;AL$4)*(AL$4-$AE$5:$AE$34)+1)&gt;0)*($AF$5:$AF$34-($AF$5:$AF$34&gt;AL$4+4)*($AF$5:$AF$34-AL$4-4)-$AE$5:$AE$34-($AE$5:$AE$34&lt;AL$4)*(AL$4-$AE$5:$AE$34)+1)*$F$5:$F$34)*(Settings!$C$19="Lara"))/Settings!$C$5</f>
        <v/>
      </c>
      <c r="AM35" s="28">
        <f>(SUMPRODUCT(($I$5:$I$34&gt;0)*(($K$5:$K$34-($K$5:$K$34&gt;AM$4+4)*($K$5:$K$34-AM$4-4)-$J$5:$J$34-($J$5:$J$34&lt;AM$4)*(AM$4-$J$5:$J$34)+1)&gt;0)*($K$5:$K$34-($K$5:$K$34&gt;AM$4+4)*($K$5:$K$34-AM$4-4)-$J$5:$J$34-($J$5:$J$34&lt;AM$4)*(AM$4-$J$5:$J$34)+1)*$F$5:$F$34)*(Settings!$C$12="Lara")+SUMPRODUCT(($L$5:$L$34&gt;0)*(($N$5:$N$34-($N$5:$N$34&gt;AM$4+4)*($N$5:$N$34-AM$4-4)-$M$5:$M$34-($M$5:$M$34&lt;AM$4)*(AM$4-$M$5:$M$34)+1)&gt;0)*($N$5:$N$34-($N$5:$N$34&gt;AM$4+4)*($N$5:$N$34-AM$4-4)-$M$5:$M$34-($M$5:$M$34&lt;AM$4)*(AM$4-$M$5:$M$34)+1)*$F$5:$F$34)*(Settings!$C$13="Lara")+SUMPRODUCT(($O$5:$O$34&gt;0)*(($Q$5:$Q$34-($Q$5:$Q$34&gt;AM$4+4)*($Q$5:$Q$34-AM$4-4)-$P$5:$P$34-($P$5:$P$34&lt;AM$4)*(AM$4-$P$5:$P$34)+1)&gt;0)*($Q$5:$Q$34-($Q$5:$Q$34&gt;AM$4+4)*($Q$5:$Q$34-AM$4-4)-$P$5:$P$34-($P$5:$P$34&lt;AM$4)*(AM$4-$P$5:$P$34)+1)*$F$5:$F$34)*(Settings!$C$14="Lara")+SUMPRODUCT(($R$5:$R$34&gt;0)*(($T$5:$T$34-($T$5:$T$34&gt;AM$4+4)*($T$5:$T$34-AM$4-4)-$S$5:$S$34-($S$5:$S$34&lt;AM$4)*(AM$4-$S$5:$S$34)+1)&gt;0)*($T$5:$T$34-($T$5:$T$34&gt;AM$4+4)*($T$5:$T$34-AM$4-4)-$S$5:$S$34-($S$5:$S$34&lt;AM$4)*(AM$4-$S$5:$S$34)+1)*$F$5:$F$34)*(Settings!$C$15="Lara")+SUMPRODUCT(($U$5:$U$34&gt;0)*(($W$5:$W$34-($W$5:$W$34&gt;AM$4+4)*($W$5:$W$34-AM$4-4)-$V$5:$V$34-($V$5:$V$34&lt;AM$4)*(AM$4-$V$5:$V$34)+1)&gt;0)*($W$5:$W$34-($W$5:$W$34&gt;AM$4+4)*($W$5:$W$34-AM$4-4)-$V$5:$V$34-($V$5:$V$34&lt;AM$4)*(AM$4-$V$5:$V$34)+1)*$F$5:$F$34)*(Settings!$C$16="Lara")+SUMPRODUCT(($X$5:$X$34&gt;0)*(($Z$5:$Z$34-($Z$5:$Z$34&gt;AM$4+4)*($Z$5:$Z$34-AM$4-4)-$Y$5:$Y$34-($Y$5:$Y$34&lt;AM$4)*(AM$4-$Y$5:$Y$34)+1)&gt;0)*($Z$5:$Z$34-($Z$5:$Z$34&gt;AM$4+4)*($Z$5:$Z$34-AM$4-4)-$Y$5:$Y$34-($Y$5:$Y$34&lt;AM$4)*(AM$4-$Y$5:$Y$34)+1)*$F$5:$F$34)*(Settings!$C$17="Lara")+SUMPRODUCT(($AA$5:$AA$34&gt;0)*(($AC$5:$AC$34-($AC$5:$AC$34&gt;AM$4+4)*($AC$5:$AC$34-AM$4-4)-$AB$5:$AB$34-($AB$5:$AB$34&lt;AM$4)*(AM$4-$AB$5:$AB$34)+1)&gt;0)*($AC$5:$AC$34-($AC$5:$AC$34&gt;AM$4+4)*($AC$5:$AC$34-AM$4-4)-$AB$5:$AB$34-($AB$5:$AB$34&lt;AM$4)*(AM$4-$AB$5:$AB$34)+1)*$F$5:$F$34)*(Settings!$C$18="Lara")+SUMPRODUCT(($AD$5:$AD$34&gt;0)*(($AF$5:$AF$34-($AF$5:$AF$34&gt;AM$4+4)*($AF$5:$AF$34-AM$4-4)-$AE$5:$AE$34-($AE$5:$AE$34&lt;AM$4)*(AM$4-$AE$5:$AE$34)+1)&gt;0)*($AF$5:$AF$34-($AF$5:$AF$34&gt;AM$4+4)*($AF$5:$AF$34-AM$4-4)-$AE$5:$AE$34-($AE$5:$AE$34&lt;AM$4)*(AM$4-$AE$5:$AE$34)+1)*$F$5:$F$34)*(Settings!$C$19="Lara"))/Settings!$C$5</f>
        <v/>
      </c>
      <c r="AN35" s="28">
        <f>(SUMPRODUCT(($I$5:$I$34&gt;0)*(($K$5:$K$34-($K$5:$K$34&gt;AN$4+4)*($K$5:$K$34-AN$4-4)-$J$5:$J$34-($J$5:$J$34&lt;AN$4)*(AN$4-$J$5:$J$34)+1)&gt;0)*($K$5:$K$34-($K$5:$K$34&gt;AN$4+4)*($K$5:$K$34-AN$4-4)-$J$5:$J$34-($J$5:$J$34&lt;AN$4)*(AN$4-$J$5:$J$34)+1)*$F$5:$F$34)*(Settings!$C$12="Lara")+SUMPRODUCT(($L$5:$L$34&gt;0)*(($N$5:$N$34-($N$5:$N$34&gt;AN$4+4)*($N$5:$N$34-AN$4-4)-$M$5:$M$34-($M$5:$M$34&lt;AN$4)*(AN$4-$M$5:$M$34)+1)&gt;0)*($N$5:$N$34-($N$5:$N$34&gt;AN$4+4)*($N$5:$N$34-AN$4-4)-$M$5:$M$34-($M$5:$M$34&lt;AN$4)*(AN$4-$M$5:$M$34)+1)*$F$5:$F$34)*(Settings!$C$13="Lara")+SUMPRODUCT(($O$5:$O$34&gt;0)*(($Q$5:$Q$34-($Q$5:$Q$34&gt;AN$4+4)*($Q$5:$Q$34-AN$4-4)-$P$5:$P$34-($P$5:$P$34&lt;AN$4)*(AN$4-$P$5:$P$34)+1)&gt;0)*($Q$5:$Q$34-($Q$5:$Q$34&gt;AN$4+4)*($Q$5:$Q$34-AN$4-4)-$P$5:$P$34-($P$5:$P$34&lt;AN$4)*(AN$4-$P$5:$P$34)+1)*$F$5:$F$34)*(Settings!$C$14="Lara")+SUMPRODUCT(($R$5:$R$34&gt;0)*(($T$5:$T$34-($T$5:$T$34&gt;AN$4+4)*($T$5:$T$34-AN$4-4)-$S$5:$S$34-($S$5:$S$34&lt;AN$4)*(AN$4-$S$5:$S$34)+1)&gt;0)*($T$5:$T$34-($T$5:$T$34&gt;AN$4+4)*($T$5:$T$34-AN$4-4)-$S$5:$S$34-($S$5:$S$34&lt;AN$4)*(AN$4-$S$5:$S$34)+1)*$F$5:$F$34)*(Settings!$C$15="Lara")+SUMPRODUCT(($U$5:$U$34&gt;0)*(($W$5:$W$34-($W$5:$W$34&gt;AN$4+4)*($W$5:$W$34-AN$4-4)-$V$5:$V$34-($V$5:$V$34&lt;AN$4)*(AN$4-$V$5:$V$34)+1)&gt;0)*($W$5:$W$34-($W$5:$W$34&gt;AN$4+4)*($W$5:$W$34-AN$4-4)-$V$5:$V$34-($V$5:$V$34&lt;AN$4)*(AN$4-$V$5:$V$34)+1)*$F$5:$F$34)*(Settings!$C$16="Lara")+SUMPRODUCT(($X$5:$X$34&gt;0)*(($Z$5:$Z$34-($Z$5:$Z$34&gt;AN$4+4)*($Z$5:$Z$34-AN$4-4)-$Y$5:$Y$34-($Y$5:$Y$34&lt;AN$4)*(AN$4-$Y$5:$Y$34)+1)&gt;0)*($Z$5:$Z$34-($Z$5:$Z$34&gt;AN$4+4)*($Z$5:$Z$34-AN$4-4)-$Y$5:$Y$34-($Y$5:$Y$34&lt;AN$4)*(AN$4-$Y$5:$Y$34)+1)*$F$5:$F$34)*(Settings!$C$17="Lara")+SUMPRODUCT(($AA$5:$AA$34&gt;0)*(($AC$5:$AC$34-($AC$5:$AC$34&gt;AN$4+4)*($AC$5:$AC$34-AN$4-4)-$AB$5:$AB$34-($AB$5:$AB$34&lt;AN$4)*(AN$4-$AB$5:$AB$34)+1)&gt;0)*($AC$5:$AC$34-($AC$5:$AC$34&gt;AN$4+4)*($AC$5:$AC$34-AN$4-4)-$AB$5:$AB$34-($AB$5:$AB$34&lt;AN$4)*(AN$4-$AB$5:$AB$34)+1)*$F$5:$F$34)*(Settings!$C$18="Lara")+SUMPRODUCT(($AD$5:$AD$34&gt;0)*(($AF$5:$AF$34-($AF$5:$AF$34&gt;AN$4+4)*($AF$5:$AF$34-AN$4-4)-$AE$5:$AE$34-($AE$5:$AE$34&lt;AN$4)*(AN$4-$AE$5:$AE$34)+1)&gt;0)*($AF$5:$AF$34-($AF$5:$AF$34&gt;AN$4+4)*($AF$5:$AF$34-AN$4-4)-$AE$5:$AE$34-($AE$5:$AE$34&lt;AN$4)*(AN$4-$AE$5:$AE$34)+1)*$F$5:$F$34)*(Settings!$C$19="Lara"))/Settings!$C$5</f>
        <v/>
      </c>
      <c r="AO35" s="28">
        <f>(SUMPRODUCT(($I$5:$I$34&gt;0)*(($K$5:$K$34-($K$5:$K$34&gt;AO$4+4)*($K$5:$K$34-AO$4-4)-$J$5:$J$34-($J$5:$J$34&lt;AO$4)*(AO$4-$J$5:$J$34)+1)&gt;0)*($K$5:$K$34-($K$5:$K$34&gt;AO$4+4)*($K$5:$K$34-AO$4-4)-$J$5:$J$34-($J$5:$J$34&lt;AO$4)*(AO$4-$J$5:$J$34)+1)*$F$5:$F$34)*(Settings!$C$12="Lara")+SUMPRODUCT(($L$5:$L$34&gt;0)*(($N$5:$N$34-($N$5:$N$34&gt;AO$4+4)*($N$5:$N$34-AO$4-4)-$M$5:$M$34-($M$5:$M$34&lt;AO$4)*(AO$4-$M$5:$M$34)+1)&gt;0)*($N$5:$N$34-($N$5:$N$34&gt;AO$4+4)*($N$5:$N$34-AO$4-4)-$M$5:$M$34-($M$5:$M$34&lt;AO$4)*(AO$4-$M$5:$M$34)+1)*$F$5:$F$34)*(Settings!$C$13="Lara")+SUMPRODUCT(($O$5:$O$34&gt;0)*(($Q$5:$Q$34-($Q$5:$Q$34&gt;AO$4+4)*($Q$5:$Q$34-AO$4-4)-$P$5:$P$34-($P$5:$P$34&lt;AO$4)*(AO$4-$P$5:$P$34)+1)&gt;0)*($Q$5:$Q$34-($Q$5:$Q$34&gt;AO$4+4)*($Q$5:$Q$34-AO$4-4)-$P$5:$P$34-($P$5:$P$34&lt;AO$4)*(AO$4-$P$5:$P$34)+1)*$F$5:$F$34)*(Settings!$C$14="Lara")+SUMPRODUCT(($R$5:$R$34&gt;0)*(($T$5:$T$34-($T$5:$T$34&gt;AO$4+4)*($T$5:$T$34-AO$4-4)-$S$5:$S$34-($S$5:$S$34&lt;AO$4)*(AO$4-$S$5:$S$34)+1)&gt;0)*($T$5:$T$34-($T$5:$T$34&gt;AO$4+4)*($T$5:$T$34-AO$4-4)-$S$5:$S$34-($S$5:$S$34&lt;AO$4)*(AO$4-$S$5:$S$34)+1)*$F$5:$F$34)*(Settings!$C$15="Lara")+SUMPRODUCT(($U$5:$U$34&gt;0)*(($W$5:$W$34-($W$5:$W$34&gt;AO$4+4)*($W$5:$W$34-AO$4-4)-$V$5:$V$34-($V$5:$V$34&lt;AO$4)*(AO$4-$V$5:$V$34)+1)&gt;0)*($W$5:$W$34-($W$5:$W$34&gt;AO$4+4)*($W$5:$W$34-AO$4-4)-$V$5:$V$34-($V$5:$V$34&lt;AO$4)*(AO$4-$V$5:$V$34)+1)*$F$5:$F$34)*(Settings!$C$16="Lara")+SUMPRODUCT(($X$5:$X$34&gt;0)*(($Z$5:$Z$34-($Z$5:$Z$34&gt;AO$4+4)*($Z$5:$Z$34-AO$4-4)-$Y$5:$Y$34-($Y$5:$Y$34&lt;AO$4)*(AO$4-$Y$5:$Y$34)+1)&gt;0)*($Z$5:$Z$34-($Z$5:$Z$34&gt;AO$4+4)*($Z$5:$Z$34-AO$4-4)-$Y$5:$Y$34-($Y$5:$Y$34&lt;AO$4)*(AO$4-$Y$5:$Y$34)+1)*$F$5:$F$34)*(Settings!$C$17="Lara")+SUMPRODUCT(($AA$5:$AA$34&gt;0)*(($AC$5:$AC$34-($AC$5:$AC$34&gt;AO$4+4)*($AC$5:$AC$34-AO$4-4)-$AB$5:$AB$34-($AB$5:$AB$34&lt;AO$4)*(AO$4-$AB$5:$AB$34)+1)&gt;0)*($AC$5:$AC$34-($AC$5:$AC$34&gt;AO$4+4)*($AC$5:$AC$34-AO$4-4)-$AB$5:$AB$34-($AB$5:$AB$34&lt;AO$4)*(AO$4-$AB$5:$AB$34)+1)*$F$5:$F$34)*(Settings!$C$18="Lara")+SUMPRODUCT(($AD$5:$AD$34&gt;0)*(($AF$5:$AF$34-($AF$5:$AF$34&gt;AO$4+4)*($AF$5:$AF$34-AO$4-4)-$AE$5:$AE$34-($AE$5:$AE$34&lt;AO$4)*(AO$4-$AE$5:$AE$34)+1)&gt;0)*($AF$5:$AF$34-($AF$5:$AF$34&gt;AO$4+4)*($AF$5:$AF$34-AO$4-4)-$AE$5:$AE$34-($AE$5:$AE$34&lt;AO$4)*(AO$4-$AE$5:$AE$34)+1)*$F$5:$F$34)*(Settings!$C$19="Lara"))/Settings!$C$5</f>
        <v/>
      </c>
      <c r="AP35" s="28">
        <f>(SUMPRODUCT(($I$5:$I$34&gt;0)*(($K$5:$K$34-($K$5:$K$34&gt;AP$4+4)*($K$5:$K$34-AP$4-4)-$J$5:$J$34-($J$5:$J$34&lt;AP$4)*(AP$4-$J$5:$J$34)+1)&gt;0)*($K$5:$K$34-($K$5:$K$34&gt;AP$4+4)*($K$5:$K$34-AP$4-4)-$J$5:$J$34-($J$5:$J$34&lt;AP$4)*(AP$4-$J$5:$J$34)+1)*$F$5:$F$34)*(Settings!$C$12="Lara")+SUMPRODUCT(($L$5:$L$34&gt;0)*(($N$5:$N$34-($N$5:$N$34&gt;AP$4+4)*($N$5:$N$34-AP$4-4)-$M$5:$M$34-($M$5:$M$34&lt;AP$4)*(AP$4-$M$5:$M$34)+1)&gt;0)*($N$5:$N$34-($N$5:$N$34&gt;AP$4+4)*($N$5:$N$34-AP$4-4)-$M$5:$M$34-($M$5:$M$34&lt;AP$4)*(AP$4-$M$5:$M$34)+1)*$F$5:$F$34)*(Settings!$C$13="Lara")+SUMPRODUCT(($O$5:$O$34&gt;0)*(($Q$5:$Q$34-($Q$5:$Q$34&gt;AP$4+4)*($Q$5:$Q$34-AP$4-4)-$P$5:$P$34-($P$5:$P$34&lt;AP$4)*(AP$4-$P$5:$P$34)+1)&gt;0)*($Q$5:$Q$34-($Q$5:$Q$34&gt;AP$4+4)*($Q$5:$Q$34-AP$4-4)-$P$5:$P$34-($P$5:$P$34&lt;AP$4)*(AP$4-$P$5:$P$34)+1)*$F$5:$F$34)*(Settings!$C$14="Lara")+SUMPRODUCT(($R$5:$R$34&gt;0)*(($T$5:$T$34-($T$5:$T$34&gt;AP$4+4)*($T$5:$T$34-AP$4-4)-$S$5:$S$34-($S$5:$S$34&lt;AP$4)*(AP$4-$S$5:$S$34)+1)&gt;0)*($T$5:$T$34-($T$5:$T$34&gt;AP$4+4)*($T$5:$T$34-AP$4-4)-$S$5:$S$34-($S$5:$S$34&lt;AP$4)*(AP$4-$S$5:$S$34)+1)*$F$5:$F$34)*(Settings!$C$15="Lara")+SUMPRODUCT(($U$5:$U$34&gt;0)*(($W$5:$W$34-($W$5:$W$34&gt;AP$4+4)*($W$5:$W$34-AP$4-4)-$V$5:$V$34-($V$5:$V$34&lt;AP$4)*(AP$4-$V$5:$V$34)+1)&gt;0)*($W$5:$W$34-($W$5:$W$34&gt;AP$4+4)*($W$5:$W$34-AP$4-4)-$V$5:$V$34-($V$5:$V$34&lt;AP$4)*(AP$4-$V$5:$V$34)+1)*$F$5:$F$34)*(Settings!$C$16="Lara")+SUMPRODUCT(($X$5:$X$34&gt;0)*(($Z$5:$Z$34-($Z$5:$Z$34&gt;AP$4+4)*($Z$5:$Z$34-AP$4-4)-$Y$5:$Y$34-($Y$5:$Y$34&lt;AP$4)*(AP$4-$Y$5:$Y$34)+1)&gt;0)*($Z$5:$Z$34-($Z$5:$Z$34&gt;AP$4+4)*($Z$5:$Z$34-AP$4-4)-$Y$5:$Y$34-($Y$5:$Y$34&lt;AP$4)*(AP$4-$Y$5:$Y$34)+1)*$F$5:$F$34)*(Settings!$C$17="Lara")+SUMPRODUCT(($AA$5:$AA$34&gt;0)*(($AC$5:$AC$34-($AC$5:$AC$34&gt;AP$4+4)*($AC$5:$AC$34-AP$4-4)-$AB$5:$AB$34-($AB$5:$AB$34&lt;AP$4)*(AP$4-$AB$5:$AB$34)+1)&gt;0)*($AC$5:$AC$34-($AC$5:$AC$34&gt;AP$4+4)*($AC$5:$AC$34-AP$4-4)-$AB$5:$AB$34-($AB$5:$AB$34&lt;AP$4)*(AP$4-$AB$5:$AB$34)+1)*$F$5:$F$34)*(Settings!$C$18="Lara")+SUMPRODUCT(($AD$5:$AD$34&gt;0)*(($AF$5:$AF$34-($AF$5:$AF$34&gt;AP$4+4)*($AF$5:$AF$34-AP$4-4)-$AE$5:$AE$34-($AE$5:$AE$34&lt;AP$4)*(AP$4-$AE$5:$AE$34)+1)&gt;0)*($AF$5:$AF$34-($AF$5:$AF$34&gt;AP$4+4)*($AF$5:$AF$34-AP$4-4)-$AE$5:$AE$34-($AE$5:$AE$34&lt;AP$4)*(AP$4-$AE$5:$AE$34)+1)*$F$5:$F$34)*(Settings!$C$19="Lara"))/Settings!$C$5</f>
        <v/>
      </c>
      <c r="AQ35" s="28">
        <f>(SUMPRODUCT(($I$5:$I$34&gt;0)*(($K$5:$K$34-($K$5:$K$34&gt;AQ$4+4)*($K$5:$K$34-AQ$4-4)-$J$5:$J$34-($J$5:$J$34&lt;AQ$4)*(AQ$4-$J$5:$J$34)+1)&gt;0)*($K$5:$K$34-($K$5:$K$34&gt;AQ$4+4)*($K$5:$K$34-AQ$4-4)-$J$5:$J$34-($J$5:$J$34&lt;AQ$4)*(AQ$4-$J$5:$J$34)+1)*$F$5:$F$34)*(Settings!$C$12="Lara")+SUMPRODUCT(($L$5:$L$34&gt;0)*(($N$5:$N$34-($N$5:$N$34&gt;AQ$4+4)*($N$5:$N$34-AQ$4-4)-$M$5:$M$34-($M$5:$M$34&lt;AQ$4)*(AQ$4-$M$5:$M$34)+1)&gt;0)*($N$5:$N$34-($N$5:$N$34&gt;AQ$4+4)*($N$5:$N$34-AQ$4-4)-$M$5:$M$34-($M$5:$M$34&lt;AQ$4)*(AQ$4-$M$5:$M$34)+1)*$F$5:$F$34)*(Settings!$C$13="Lara")+SUMPRODUCT(($O$5:$O$34&gt;0)*(($Q$5:$Q$34-($Q$5:$Q$34&gt;AQ$4+4)*($Q$5:$Q$34-AQ$4-4)-$P$5:$P$34-($P$5:$P$34&lt;AQ$4)*(AQ$4-$P$5:$P$34)+1)&gt;0)*($Q$5:$Q$34-($Q$5:$Q$34&gt;AQ$4+4)*($Q$5:$Q$34-AQ$4-4)-$P$5:$P$34-($P$5:$P$34&lt;AQ$4)*(AQ$4-$P$5:$P$34)+1)*$F$5:$F$34)*(Settings!$C$14="Lara")+SUMPRODUCT(($R$5:$R$34&gt;0)*(($T$5:$T$34-($T$5:$T$34&gt;AQ$4+4)*($T$5:$T$34-AQ$4-4)-$S$5:$S$34-($S$5:$S$34&lt;AQ$4)*(AQ$4-$S$5:$S$34)+1)&gt;0)*($T$5:$T$34-($T$5:$T$34&gt;AQ$4+4)*($T$5:$T$34-AQ$4-4)-$S$5:$S$34-($S$5:$S$34&lt;AQ$4)*(AQ$4-$S$5:$S$34)+1)*$F$5:$F$34)*(Settings!$C$15="Lara")+SUMPRODUCT(($U$5:$U$34&gt;0)*(($W$5:$W$34-($W$5:$W$34&gt;AQ$4+4)*($W$5:$W$34-AQ$4-4)-$V$5:$V$34-($V$5:$V$34&lt;AQ$4)*(AQ$4-$V$5:$V$34)+1)&gt;0)*($W$5:$W$34-($W$5:$W$34&gt;AQ$4+4)*($W$5:$W$34-AQ$4-4)-$V$5:$V$34-($V$5:$V$34&lt;AQ$4)*(AQ$4-$V$5:$V$34)+1)*$F$5:$F$34)*(Settings!$C$16="Lara")+SUMPRODUCT(($X$5:$X$34&gt;0)*(($Z$5:$Z$34-($Z$5:$Z$34&gt;AQ$4+4)*($Z$5:$Z$34-AQ$4-4)-$Y$5:$Y$34-($Y$5:$Y$34&lt;AQ$4)*(AQ$4-$Y$5:$Y$34)+1)&gt;0)*($Z$5:$Z$34-($Z$5:$Z$34&gt;AQ$4+4)*($Z$5:$Z$34-AQ$4-4)-$Y$5:$Y$34-($Y$5:$Y$34&lt;AQ$4)*(AQ$4-$Y$5:$Y$34)+1)*$F$5:$F$34)*(Settings!$C$17="Lara")+SUMPRODUCT(($AA$5:$AA$34&gt;0)*(($AC$5:$AC$34-($AC$5:$AC$34&gt;AQ$4+4)*($AC$5:$AC$34-AQ$4-4)-$AB$5:$AB$34-($AB$5:$AB$34&lt;AQ$4)*(AQ$4-$AB$5:$AB$34)+1)&gt;0)*($AC$5:$AC$34-($AC$5:$AC$34&gt;AQ$4+4)*($AC$5:$AC$34-AQ$4-4)-$AB$5:$AB$34-($AB$5:$AB$34&lt;AQ$4)*(AQ$4-$AB$5:$AB$34)+1)*$F$5:$F$34)*(Settings!$C$18="Lara")+SUMPRODUCT(($AD$5:$AD$34&gt;0)*(($AF$5:$AF$34-($AF$5:$AF$34&gt;AQ$4+4)*($AF$5:$AF$34-AQ$4-4)-$AE$5:$AE$34-($AE$5:$AE$34&lt;AQ$4)*(AQ$4-$AE$5:$AE$34)+1)&gt;0)*($AF$5:$AF$34-($AF$5:$AF$34&gt;AQ$4+4)*($AF$5:$AF$34-AQ$4-4)-$AE$5:$AE$34-($AE$5:$AE$34&lt;AQ$4)*(AQ$4-$AE$5:$AE$34)+1)*$F$5:$F$34)*(Settings!$C$19="Lara"))/Settings!$C$5</f>
        <v/>
      </c>
      <c r="AR35" s="28">
        <f>(SUMPRODUCT(($I$5:$I$34&gt;0)*(($K$5:$K$34-($K$5:$K$34&gt;AR$4+4)*($K$5:$K$34-AR$4-4)-$J$5:$J$34-($J$5:$J$34&lt;AR$4)*(AR$4-$J$5:$J$34)+1)&gt;0)*($K$5:$K$34-($K$5:$K$34&gt;AR$4+4)*($K$5:$K$34-AR$4-4)-$J$5:$J$34-($J$5:$J$34&lt;AR$4)*(AR$4-$J$5:$J$34)+1)*$F$5:$F$34)*(Settings!$C$12="Lara")+SUMPRODUCT(($L$5:$L$34&gt;0)*(($N$5:$N$34-($N$5:$N$34&gt;AR$4+4)*($N$5:$N$34-AR$4-4)-$M$5:$M$34-($M$5:$M$34&lt;AR$4)*(AR$4-$M$5:$M$34)+1)&gt;0)*($N$5:$N$34-($N$5:$N$34&gt;AR$4+4)*($N$5:$N$34-AR$4-4)-$M$5:$M$34-($M$5:$M$34&lt;AR$4)*(AR$4-$M$5:$M$34)+1)*$F$5:$F$34)*(Settings!$C$13="Lara")+SUMPRODUCT(($O$5:$O$34&gt;0)*(($Q$5:$Q$34-($Q$5:$Q$34&gt;AR$4+4)*($Q$5:$Q$34-AR$4-4)-$P$5:$P$34-($P$5:$P$34&lt;AR$4)*(AR$4-$P$5:$P$34)+1)&gt;0)*($Q$5:$Q$34-($Q$5:$Q$34&gt;AR$4+4)*($Q$5:$Q$34-AR$4-4)-$P$5:$P$34-($P$5:$P$34&lt;AR$4)*(AR$4-$P$5:$P$34)+1)*$F$5:$F$34)*(Settings!$C$14="Lara")+SUMPRODUCT(($R$5:$R$34&gt;0)*(($T$5:$T$34-($T$5:$T$34&gt;AR$4+4)*($T$5:$T$34-AR$4-4)-$S$5:$S$34-($S$5:$S$34&lt;AR$4)*(AR$4-$S$5:$S$34)+1)&gt;0)*($T$5:$T$34-($T$5:$T$34&gt;AR$4+4)*($T$5:$T$34-AR$4-4)-$S$5:$S$34-($S$5:$S$34&lt;AR$4)*(AR$4-$S$5:$S$34)+1)*$F$5:$F$34)*(Settings!$C$15="Lara")+SUMPRODUCT(($U$5:$U$34&gt;0)*(($W$5:$W$34-($W$5:$W$34&gt;AR$4+4)*($W$5:$W$34-AR$4-4)-$V$5:$V$34-($V$5:$V$34&lt;AR$4)*(AR$4-$V$5:$V$34)+1)&gt;0)*($W$5:$W$34-($W$5:$W$34&gt;AR$4+4)*($W$5:$W$34-AR$4-4)-$V$5:$V$34-($V$5:$V$34&lt;AR$4)*(AR$4-$V$5:$V$34)+1)*$F$5:$F$34)*(Settings!$C$16="Lara")+SUMPRODUCT(($X$5:$X$34&gt;0)*(($Z$5:$Z$34-($Z$5:$Z$34&gt;AR$4+4)*($Z$5:$Z$34-AR$4-4)-$Y$5:$Y$34-($Y$5:$Y$34&lt;AR$4)*(AR$4-$Y$5:$Y$34)+1)&gt;0)*($Z$5:$Z$34-($Z$5:$Z$34&gt;AR$4+4)*($Z$5:$Z$34-AR$4-4)-$Y$5:$Y$34-($Y$5:$Y$34&lt;AR$4)*(AR$4-$Y$5:$Y$34)+1)*$F$5:$F$34)*(Settings!$C$17="Lara")+SUMPRODUCT(($AA$5:$AA$34&gt;0)*(($AC$5:$AC$34-($AC$5:$AC$34&gt;AR$4+4)*($AC$5:$AC$34-AR$4-4)-$AB$5:$AB$34-($AB$5:$AB$34&lt;AR$4)*(AR$4-$AB$5:$AB$34)+1)&gt;0)*($AC$5:$AC$34-($AC$5:$AC$34&gt;AR$4+4)*($AC$5:$AC$34-AR$4-4)-$AB$5:$AB$34-($AB$5:$AB$34&lt;AR$4)*(AR$4-$AB$5:$AB$34)+1)*$F$5:$F$34)*(Settings!$C$18="Lara")+SUMPRODUCT(($AD$5:$AD$34&gt;0)*(($AF$5:$AF$34-($AF$5:$AF$34&gt;AR$4+4)*($AF$5:$AF$34-AR$4-4)-$AE$5:$AE$34-($AE$5:$AE$34&lt;AR$4)*(AR$4-$AE$5:$AE$34)+1)&gt;0)*($AF$5:$AF$34-($AF$5:$AF$34&gt;AR$4+4)*($AF$5:$AF$34-AR$4-4)-$AE$5:$AE$34-($AE$5:$AE$34&lt;AR$4)*(AR$4-$AE$5:$AE$34)+1)*$F$5:$F$34)*(Settings!$C$19="Lara"))/Settings!$C$5</f>
        <v/>
      </c>
      <c r="AS35" s="28">
        <f>(SUMPRODUCT(($I$5:$I$34&gt;0)*(($K$5:$K$34-($K$5:$K$34&gt;AS$4+4)*($K$5:$K$34-AS$4-4)-$J$5:$J$34-($J$5:$J$34&lt;AS$4)*(AS$4-$J$5:$J$34)+1)&gt;0)*($K$5:$K$34-($K$5:$K$34&gt;AS$4+4)*($K$5:$K$34-AS$4-4)-$J$5:$J$34-($J$5:$J$34&lt;AS$4)*(AS$4-$J$5:$J$34)+1)*$F$5:$F$34)*(Settings!$C$12="Lara")+SUMPRODUCT(($L$5:$L$34&gt;0)*(($N$5:$N$34-($N$5:$N$34&gt;AS$4+4)*($N$5:$N$34-AS$4-4)-$M$5:$M$34-($M$5:$M$34&lt;AS$4)*(AS$4-$M$5:$M$34)+1)&gt;0)*($N$5:$N$34-($N$5:$N$34&gt;AS$4+4)*($N$5:$N$34-AS$4-4)-$M$5:$M$34-($M$5:$M$34&lt;AS$4)*(AS$4-$M$5:$M$34)+1)*$F$5:$F$34)*(Settings!$C$13="Lara")+SUMPRODUCT(($O$5:$O$34&gt;0)*(($Q$5:$Q$34-($Q$5:$Q$34&gt;AS$4+4)*($Q$5:$Q$34-AS$4-4)-$P$5:$P$34-($P$5:$P$34&lt;AS$4)*(AS$4-$P$5:$P$34)+1)&gt;0)*($Q$5:$Q$34-($Q$5:$Q$34&gt;AS$4+4)*($Q$5:$Q$34-AS$4-4)-$P$5:$P$34-($P$5:$P$34&lt;AS$4)*(AS$4-$P$5:$P$34)+1)*$F$5:$F$34)*(Settings!$C$14="Lara")+SUMPRODUCT(($R$5:$R$34&gt;0)*(($T$5:$T$34-($T$5:$T$34&gt;AS$4+4)*($T$5:$T$34-AS$4-4)-$S$5:$S$34-($S$5:$S$34&lt;AS$4)*(AS$4-$S$5:$S$34)+1)&gt;0)*($T$5:$T$34-($T$5:$T$34&gt;AS$4+4)*($T$5:$T$34-AS$4-4)-$S$5:$S$34-($S$5:$S$34&lt;AS$4)*(AS$4-$S$5:$S$34)+1)*$F$5:$F$34)*(Settings!$C$15="Lara")+SUMPRODUCT(($U$5:$U$34&gt;0)*(($W$5:$W$34-($W$5:$W$34&gt;AS$4+4)*($W$5:$W$34-AS$4-4)-$V$5:$V$34-($V$5:$V$34&lt;AS$4)*(AS$4-$V$5:$V$34)+1)&gt;0)*($W$5:$W$34-($W$5:$W$34&gt;AS$4+4)*($W$5:$W$34-AS$4-4)-$V$5:$V$34-($V$5:$V$34&lt;AS$4)*(AS$4-$V$5:$V$34)+1)*$F$5:$F$34)*(Settings!$C$16="Lara")+SUMPRODUCT(($X$5:$X$34&gt;0)*(($Z$5:$Z$34-($Z$5:$Z$34&gt;AS$4+4)*($Z$5:$Z$34-AS$4-4)-$Y$5:$Y$34-($Y$5:$Y$34&lt;AS$4)*(AS$4-$Y$5:$Y$34)+1)&gt;0)*($Z$5:$Z$34-($Z$5:$Z$34&gt;AS$4+4)*($Z$5:$Z$34-AS$4-4)-$Y$5:$Y$34-($Y$5:$Y$34&lt;AS$4)*(AS$4-$Y$5:$Y$34)+1)*$F$5:$F$34)*(Settings!$C$17="Lara")+SUMPRODUCT(($AA$5:$AA$34&gt;0)*(($AC$5:$AC$34-($AC$5:$AC$34&gt;AS$4+4)*($AC$5:$AC$34-AS$4-4)-$AB$5:$AB$34-($AB$5:$AB$34&lt;AS$4)*(AS$4-$AB$5:$AB$34)+1)&gt;0)*($AC$5:$AC$34-($AC$5:$AC$34&gt;AS$4+4)*($AC$5:$AC$34-AS$4-4)-$AB$5:$AB$34-($AB$5:$AB$34&lt;AS$4)*(AS$4-$AB$5:$AB$34)+1)*$F$5:$F$34)*(Settings!$C$18="Lara")+SUMPRODUCT(($AD$5:$AD$34&gt;0)*(($AF$5:$AF$34-($AF$5:$AF$34&gt;AS$4+4)*($AF$5:$AF$34-AS$4-4)-$AE$5:$AE$34-($AE$5:$AE$34&lt;AS$4)*(AS$4-$AE$5:$AE$34)+1)&gt;0)*($AF$5:$AF$34-($AF$5:$AF$34&gt;AS$4+4)*($AF$5:$AF$34-AS$4-4)-$AE$5:$AE$34-($AE$5:$AE$34&lt;AS$4)*(AS$4-$AE$5:$AE$34)+1)*$F$5:$F$34)*(Settings!$C$19="Lara"))/Settings!$C$5</f>
        <v/>
      </c>
      <c r="AT35" s="28">
        <f>(SUMPRODUCT(($I$5:$I$34&gt;0)*(($K$5:$K$34-($K$5:$K$34&gt;AT$4+4)*($K$5:$K$34-AT$4-4)-$J$5:$J$34-($J$5:$J$34&lt;AT$4)*(AT$4-$J$5:$J$34)+1)&gt;0)*($K$5:$K$34-($K$5:$K$34&gt;AT$4+4)*($K$5:$K$34-AT$4-4)-$J$5:$J$34-($J$5:$J$34&lt;AT$4)*(AT$4-$J$5:$J$34)+1)*$F$5:$F$34)*(Settings!$C$12="Lara")+SUMPRODUCT(($L$5:$L$34&gt;0)*(($N$5:$N$34-($N$5:$N$34&gt;AT$4+4)*($N$5:$N$34-AT$4-4)-$M$5:$M$34-($M$5:$M$34&lt;AT$4)*(AT$4-$M$5:$M$34)+1)&gt;0)*($N$5:$N$34-($N$5:$N$34&gt;AT$4+4)*($N$5:$N$34-AT$4-4)-$M$5:$M$34-($M$5:$M$34&lt;AT$4)*(AT$4-$M$5:$M$34)+1)*$F$5:$F$34)*(Settings!$C$13="Lara")+SUMPRODUCT(($O$5:$O$34&gt;0)*(($Q$5:$Q$34-($Q$5:$Q$34&gt;AT$4+4)*($Q$5:$Q$34-AT$4-4)-$P$5:$P$34-($P$5:$P$34&lt;AT$4)*(AT$4-$P$5:$P$34)+1)&gt;0)*($Q$5:$Q$34-($Q$5:$Q$34&gt;AT$4+4)*($Q$5:$Q$34-AT$4-4)-$P$5:$P$34-($P$5:$P$34&lt;AT$4)*(AT$4-$P$5:$P$34)+1)*$F$5:$F$34)*(Settings!$C$14="Lara")+SUMPRODUCT(($R$5:$R$34&gt;0)*(($T$5:$T$34-($T$5:$T$34&gt;AT$4+4)*($T$5:$T$34-AT$4-4)-$S$5:$S$34-($S$5:$S$34&lt;AT$4)*(AT$4-$S$5:$S$34)+1)&gt;0)*($T$5:$T$34-($T$5:$T$34&gt;AT$4+4)*($T$5:$T$34-AT$4-4)-$S$5:$S$34-($S$5:$S$34&lt;AT$4)*(AT$4-$S$5:$S$34)+1)*$F$5:$F$34)*(Settings!$C$15="Lara")+SUMPRODUCT(($U$5:$U$34&gt;0)*(($W$5:$W$34-($W$5:$W$34&gt;AT$4+4)*($W$5:$W$34-AT$4-4)-$V$5:$V$34-($V$5:$V$34&lt;AT$4)*(AT$4-$V$5:$V$34)+1)&gt;0)*($W$5:$W$34-($W$5:$W$34&gt;AT$4+4)*($W$5:$W$34-AT$4-4)-$V$5:$V$34-($V$5:$V$34&lt;AT$4)*(AT$4-$V$5:$V$34)+1)*$F$5:$F$34)*(Settings!$C$16="Lara")+SUMPRODUCT(($X$5:$X$34&gt;0)*(($Z$5:$Z$34-($Z$5:$Z$34&gt;AT$4+4)*($Z$5:$Z$34-AT$4-4)-$Y$5:$Y$34-($Y$5:$Y$34&lt;AT$4)*(AT$4-$Y$5:$Y$34)+1)&gt;0)*($Z$5:$Z$34-($Z$5:$Z$34&gt;AT$4+4)*($Z$5:$Z$34-AT$4-4)-$Y$5:$Y$34-($Y$5:$Y$34&lt;AT$4)*(AT$4-$Y$5:$Y$34)+1)*$F$5:$F$34)*(Settings!$C$17="Lara")+SUMPRODUCT(($AA$5:$AA$34&gt;0)*(($AC$5:$AC$34-($AC$5:$AC$34&gt;AT$4+4)*($AC$5:$AC$34-AT$4-4)-$AB$5:$AB$34-($AB$5:$AB$34&lt;AT$4)*(AT$4-$AB$5:$AB$34)+1)&gt;0)*($AC$5:$AC$34-($AC$5:$AC$34&gt;AT$4+4)*($AC$5:$AC$34-AT$4-4)-$AB$5:$AB$34-($AB$5:$AB$34&lt;AT$4)*(AT$4-$AB$5:$AB$34)+1)*$F$5:$F$34)*(Settings!$C$18="Lara")+SUMPRODUCT(($AD$5:$AD$34&gt;0)*(($AF$5:$AF$34-($AF$5:$AF$34&gt;AT$4+4)*($AF$5:$AF$34-AT$4-4)-$AE$5:$AE$34-($AE$5:$AE$34&lt;AT$4)*(AT$4-$AE$5:$AE$34)+1)&gt;0)*($AF$5:$AF$34-($AF$5:$AF$34&gt;AT$4+4)*($AF$5:$AF$34-AT$4-4)-$AE$5:$AE$34-($AE$5:$AE$34&lt;AT$4)*(AT$4-$AE$5:$AE$34)+1)*$F$5:$F$34)*(Settings!$C$19="Lara"))/Settings!$C$5</f>
        <v/>
      </c>
      <c r="AU35" s="28">
        <f>(SUMPRODUCT(($I$5:$I$34&gt;0)*(($K$5:$K$34-($K$5:$K$34&gt;AU$4+4)*($K$5:$K$34-AU$4-4)-$J$5:$J$34-($J$5:$J$34&lt;AU$4)*(AU$4-$J$5:$J$34)+1)&gt;0)*($K$5:$K$34-($K$5:$K$34&gt;AU$4+4)*($K$5:$K$34-AU$4-4)-$J$5:$J$34-($J$5:$J$34&lt;AU$4)*(AU$4-$J$5:$J$34)+1)*$F$5:$F$34)*(Settings!$C$12="Lara")+SUMPRODUCT(($L$5:$L$34&gt;0)*(($N$5:$N$34-($N$5:$N$34&gt;AU$4+4)*($N$5:$N$34-AU$4-4)-$M$5:$M$34-($M$5:$M$34&lt;AU$4)*(AU$4-$M$5:$M$34)+1)&gt;0)*($N$5:$N$34-($N$5:$N$34&gt;AU$4+4)*($N$5:$N$34-AU$4-4)-$M$5:$M$34-($M$5:$M$34&lt;AU$4)*(AU$4-$M$5:$M$34)+1)*$F$5:$F$34)*(Settings!$C$13="Lara")+SUMPRODUCT(($O$5:$O$34&gt;0)*(($Q$5:$Q$34-($Q$5:$Q$34&gt;AU$4+4)*($Q$5:$Q$34-AU$4-4)-$P$5:$P$34-($P$5:$P$34&lt;AU$4)*(AU$4-$P$5:$P$34)+1)&gt;0)*($Q$5:$Q$34-($Q$5:$Q$34&gt;AU$4+4)*($Q$5:$Q$34-AU$4-4)-$P$5:$P$34-($P$5:$P$34&lt;AU$4)*(AU$4-$P$5:$P$34)+1)*$F$5:$F$34)*(Settings!$C$14="Lara")+SUMPRODUCT(($R$5:$R$34&gt;0)*(($T$5:$T$34-($T$5:$T$34&gt;AU$4+4)*($T$5:$T$34-AU$4-4)-$S$5:$S$34-($S$5:$S$34&lt;AU$4)*(AU$4-$S$5:$S$34)+1)&gt;0)*($T$5:$T$34-($T$5:$T$34&gt;AU$4+4)*($T$5:$T$34-AU$4-4)-$S$5:$S$34-($S$5:$S$34&lt;AU$4)*(AU$4-$S$5:$S$34)+1)*$F$5:$F$34)*(Settings!$C$15="Lara")+SUMPRODUCT(($U$5:$U$34&gt;0)*(($W$5:$W$34-($W$5:$W$34&gt;AU$4+4)*($W$5:$W$34-AU$4-4)-$V$5:$V$34-($V$5:$V$34&lt;AU$4)*(AU$4-$V$5:$V$34)+1)&gt;0)*($W$5:$W$34-($W$5:$W$34&gt;AU$4+4)*($W$5:$W$34-AU$4-4)-$V$5:$V$34-($V$5:$V$34&lt;AU$4)*(AU$4-$V$5:$V$34)+1)*$F$5:$F$34)*(Settings!$C$16="Lara")+SUMPRODUCT(($X$5:$X$34&gt;0)*(($Z$5:$Z$34-($Z$5:$Z$34&gt;AU$4+4)*($Z$5:$Z$34-AU$4-4)-$Y$5:$Y$34-($Y$5:$Y$34&lt;AU$4)*(AU$4-$Y$5:$Y$34)+1)&gt;0)*($Z$5:$Z$34-($Z$5:$Z$34&gt;AU$4+4)*($Z$5:$Z$34-AU$4-4)-$Y$5:$Y$34-($Y$5:$Y$34&lt;AU$4)*(AU$4-$Y$5:$Y$34)+1)*$F$5:$F$34)*(Settings!$C$17="Lara")+SUMPRODUCT(($AA$5:$AA$34&gt;0)*(($AC$5:$AC$34-($AC$5:$AC$34&gt;AU$4+4)*($AC$5:$AC$34-AU$4-4)-$AB$5:$AB$34-($AB$5:$AB$34&lt;AU$4)*(AU$4-$AB$5:$AB$34)+1)&gt;0)*($AC$5:$AC$34-($AC$5:$AC$34&gt;AU$4+4)*($AC$5:$AC$34-AU$4-4)-$AB$5:$AB$34-($AB$5:$AB$34&lt;AU$4)*(AU$4-$AB$5:$AB$34)+1)*$F$5:$F$34)*(Settings!$C$18="Lara")+SUMPRODUCT(($AD$5:$AD$34&gt;0)*(($AF$5:$AF$34-($AF$5:$AF$34&gt;AU$4+4)*($AF$5:$AF$34-AU$4-4)-$AE$5:$AE$34-($AE$5:$AE$34&lt;AU$4)*(AU$4-$AE$5:$AE$34)+1)&gt;0)*($AF$5:$AF$34-($AF$5:$AF$34&gt;AU$4+4)*($AF$5:$AF$34-AU$4-4)-$AE$5:$AE$34-($AE$5:$AE$34&lt;AU$4)*(AU$4-$AE$5:$AE$34)+1)*$F$5:$F$34)*(Settings!$C$19="Lara"))/Settings!$C$5</f>
        <v/>
      </c>
      <c r="AV35" s="28">
        <f>(SUMPRODUCT(($I$5:$I$34&gt;0)*(($K$5:$K$34-($K$5:$K$34&gt;AV$4+4)*($K$5:$K$34-AV$4-4)-$J$5:$J$34-($J$5:$J$34&lt;AV$4)*(AV$4-$J$5:$J$34)+1)&gt;0)*($K$5:$K$34-($K$5:$K$34&gt;AV$4+4)*($K$5:$K$34-AV$4-4)-$J$5:$J$34-($J$5:$J$34&lt;AV$4)*(AV$4-$J$5:$J$34)+1)*$F$5:$F$34)*(Settings!$C$12="Lara")+SUMPRODUCT(($L$5:$L$34&gt;0)*(($N$5:$N$34-($N$5:$N$34&gt;AV$4+4)*($N$5:$N$34-AV$4-4)-$M$5:$M$34-($M$5:$M$34&lt;AV$4)*(AV$4-$M$5:$M$34)+1)&gt;0)*($N$5:$N$34-($N$5:$N$34&gt;AV$4+4)*($N$5:$N$34-AV$4-4)-$M$5:$M$34-($M$5:$M$34&lt;AV$4)*(AV$4-$M$5:$M$34)+1)*$F$5:$F$34)*(Settings!$C$13="Lara")+SUMPRODUCT(($O$5:$O$34&gt;0)*(($Q$5:$Q$34-($Q$5:$Q$34&gt;AV$4+4)*($Q$5:$Q$34-AV$4-4)-$P$5:$P$34-($P$5:$P$34&lt;AV$4)*(AV$4-$P$5:$P$34)+1)&gt;0)*($Q$5:$Q$34-($Q$5:$Q$34&gt;AV$4+4)*($Q$5:$Q$34-AV$4-4)-$P$5:$P$34-($P$5:$P$34&lt;AV$4)*(AV$4-$P$5:$P$34)+1)*$F$5:$F$34)*(Settings!$C$14="Lara")+SUMPRODUCT(($R$5:$R$34&gt;0)*(($T$5:$T$34-($T$5:$T$34&gt;AV$4+4)*($T$5:$T$34-AV$4-4)-$S$5:$S$34-($S$5:$S$34&lt;AV$4)*(AV$4-$S$5:$S$34)+1)&gt;0)*($T$5:$T$34-($T$5:$T$34&gt;AV$4+4)*($T$5:$T$34-AV$4-4)-$S$5:$S$34-($S$5:$S$34&lt;AV$4)*(AV$4-$S$5:$S$34)+1)*$F$5:$F$34)*(Settings!$C$15="Lara")+SUMPRODUCT(($U$5:$U$34&gt;0)*(($W$5:$W$34-($W$5:$W$34&gt;AV$4+4)*($W$5:$W$34-AV$4-4)-$V$5:$V$34-($V$5:$V$34&lt;AV$4)*(AV$4-$V$5:$V$34)+1)&gt;0)*($W$5:$W$34-($W$5:$W$34&gt;AV$4+4)*($W$5:$W$34-AV$4-4)-$V$5:$V$34-($V$5:$V$34&lt;AV$4)*(AV$4-$V$5:$V$34)+1)*$F$5:$F$34)*(Settings!$C$16="Lara")+SUMPRODUCT(($X$5:$X$34&gt;0)*(($Z$5:$Z$34-($Z$5:$Z$34&gt;AV$4+4)*($Z$5:$Z$34-AV$4-4)-$Y$5:$Y$34-($Y$5:$Y$34&lt;AV$4)*(AV$4-$Y$5:$Y$34)+1)&gt;0)*($Z$5:$Z$34-($Z$5:$Z$34&gt;AV$4+4)*($Z$5:$Z$34-AV$4-4)-$Y$5:$Y$34-($Y$5:$Y$34&lt;AV$4)*(AV$4-$Y$5:$Y$34)+1)*$F$5:$F$34)*(Settings!$C$17="Lara")+SUMPRODUCT(($AA$5:$AA$34&gt;0)*(($AC$5:$AC$34-($AC$5:$AC$34&gt;AV$4+4)*($AC$5:$AC$34-AV$4-4)-$AB$5:$AB$34-($AB$5:$AB$34&lt;AV$4)*(AV$4-$AB$5:$AB$34)+1)&gt;0)*($AC$5:$AC$34-($AC$5:$AC$34&gt;AV$4+4)*($AC$5:$AC$34-AV$4-4)-$AB$5:$AB$34-($AB$5:$AB$34&lt;AV$4)*(AV$4-$AB$5:$AB$34)+1)*$F$5:$F$34)*(Settings!$C$18="Lara")+SUMPRODUCT(($AD$5:$AD$34&gt;0)*(($AF$5:$AF$34-($AF$5:$AF$34&gt;AV$4+4)*($AF$5:$AF$34-AV$4-4)-$AE$5:$AE$34-($AE$5:$AE$34&lt;AV$4)*(AV$4-$AE$5:$AE$34)+1)&gt;0)*($AF$5:$AF$34-($AF$5:$AF$34&gt;AV$4+4)*($AF$5:$AF$34-AV$4-4)-$AE$5:$AE$34-($AE$5:$AE$34&lt;AV$4)*(AV$4-$AE$5:$AE$34)+1)*$F$5:$F$34)*(Settings!$C$19="Lara"))/Settings!$C$5</f>
        <v/>
      </c>
      <c r="AW35" s="28">
        <f>(SUMPRODUCT(($I$5:$I$34&gt;0)*(($K$5:$K$34-($K$5:$K$34&gt;AW$4+4)*($K$5:$K$34-AW$4-4)-$J$5:$J$34-($J$5:$J$34&lt;AW$4)*(AW$4-$J$5:$J$34)+1)&gt;0)*($K$5:$K$34-($K$5:$K$34&gt;AW$4+4)*($K$5:$K$34-AW$4-4)-$J$5:$J$34-($J$5:$J$34&lt;AW$4)*(AW$4-$J$5:$J$34)+1)*$F$5:$F$34)*(Settings!$C$12="Lara")+SUMPRODUCT(($L$5:$L$34&gt;0)*(($N$5:$N$34-($N$5:$N$34&gt;AW$4+4)*($N$5:$N$34-AW$4-4)-$M$5:$M$34-($M$5:$M$34&lt;AW$4)*(AW$4-$M$5:$M$34)+1)&gt;0)*($N$5:$N$34-($N$5:$N$34&gt;AW$4+4)*($N$5:$N$34-AW$4-4)-$M$5:$M$34-($M$5:$M$34&lt;AW$4)*(AW$4-$M$5:$M$34)+1)*$F$5:$F$34)*(Settings!$C$13="Lara")+SUMPRODUCT(($O$5:$O$34&gt;0)*(($Q$5:$Q$34-($Q$5:$Q$34&gt;AW$4+4)*($Q$5:$Q$34-AW$4-4)-$P$5:$P$34-($P$5:$P$34&lt;AW$4)*(AW$4-$P$5:$P$34)+1)&gt;0)*($Q$5:$Q$34-($Q$5:$Q$34&gt;AW$4+4)*($Q$5:$Q$34-AW$4-4)-$P$5:$P$34-($P$5:$P$34&lt;AW$4)*(AW$4-$P$5:$P$34)+1)*$F$5:$F$34)*(Settings!$C$14="Lara")+SUMPRODUCT(($R$5:$R$34&gt;0)*(($T$5:$T$34-($T$5:$T$34&gt;AW$4+4)*($T$5:$T$34-AW$4-4)-$S$5:$S$34-($S$5:$S$34&lt;AW$4)*(AW$4-$S$5:$S$34)+1)&gt;0)*($T$5:$T$34-($T$5:$T$34&gt;AW$4+4)*($T$5:$T$34-AW$4-4)-$S$5:$S$34-($S$5:$S$34&lt;AW$4)*(AW$4-$S$5:$S$34)+1)*$F$5:$F$34)*(Settings!$C$15="Lara")+SUMPRODUCT(($U$5:$U$34&gt;0)*(($W$5:$W$34-($W$5:$W$34&gt;AW$4+4)*($W$5:$W$34-AW$4-4)-$V$5:$V$34-($V$5:$V$34&lt;AW$4)*(AW$4-$V$5:$V$34)+1)&gt;0)*($W$5:$W$34-($W$5:$W$34&gt;AW$4+4)*($W$5:$W$34-AW$4-4)-$V$5:$V$34-($V$5:$V$34&lt;AW$4)*(AW$4-$V$5:$V$34)+1)*$F$5:$F$34)*(Settings!$C$16="Lara")+SUMPRODUCT(($X$5:$X$34&gt;0)*(($Z$5:$Z$34-($Z$5:$Z$34&gt;AW$4+4)*($Z$5:$Z$34-AW$4-4)-$Y$5:$Y$34-($Y$5:$Y$34&lt;AW$4)*(AW$4-$Y$5:$Y$34)+1)&gt;0)*($Z$5:$Z$34-($Z$5:$Z$34&gt;AW$4+4)*($Z$5:$Z$34-AW$4-4)-$Y$5:$Y$34-($Y$5:$Y$34&lt;AW$4)*(AW$4-$Y$5:$Y$34)+1)*$F$5:$F$34)*(Settings!$C$17="Lara")+SUMPRODUCT(($AA$5:$AA$34&gt;0)*(($AC$5:$AC$34-($AC$5:$AC$34&gt;AW$4+4)*($AC$5:$AC$34-AW$4-4)-$AB$5:$AB$34-($AB$5:$AB$34&lt;AW$4)*(AW$4-$AB$5:$AB$34)+1)&gt;0)*($AC$5:$AC$34-($AC$5:$AC$34&gt;AW$4+4)*($AC$5:$AC$34-AW$4-4)-$AB$5:$AB$34-($AB$5:$AB$34&lt;AW$4)*(AW$4-$AB$5:$AB$34)+1)*$F$5:$F$34)*(Settings!$C$18="Lara")+SUMPRODUCT(($AD$5:$AD$34&gt;0)*(($AF$5:$AF$34-($AF$5:$AF$34&gt;AW$4+4)*($AF$5:$AF$34-AW$4-4)-$AE$5:$AE$34-($AE$5:$AE$34&lt;AW$4)*(AW$4-$AE$5:$AE$34)+1)&gt;0)*($AF$5:$AF$34-($AF$5:$AF$34&gt;AW$4+4)*($AF$5:$AF$34-AW$4-4)-$AE$5:$AE$34-($AE$5:$AE$34&lt;AW$4)*(AW$4-$AE$5:$AE$34)+1)*$F$5:$F$34)*(Settings!$C$19="Lara"))/Settings!$C$5</f>
        <v/>
      </c>
      <c r="AX35" s="28">
        <f>(SUMPRODUCT(($I$5:$I$34&gt;0)*(($K$5:$K$34-($K$5:$K$34&gt;AX$4+4)*($K$5:$K$34-AX$4-4)-$J$5:$J$34-($J$5:$J$34&lt;AX$4)*(AX$4-$J$5:$J$34)+1)&gt;0)*($K$5:$K$34-($K$5:$K$34&gt;AX$4+4)*($K$5:$K$34-AX$4-4)-$J$5:$J$34-($J$5:$J$34&lt;AX$4)*(AX$4-$J$5:$J$34)+1)*$F$5:$F$34)*(Settings!$C$12="Lara")+SUMPRODUCT(($L$5:$L$34&gt;0)*(($N$5:$N$34-($N$5:$N$34&gt;AX$4+4)*($N$5:$N$34-AX$4-4)-$M$5:$M$34-($M$5:$M$34&lt;AX$4)*(AX$4-$M$5:$M$34)+1)&gt;0)*($N$5:$N$34-($N$5:$N$34&gt;AX$4+4)*($N$5:$N$34-AX$4-4)-$M$5:$M$34-($M$5:$M$34&lt;AX$4)*(AX$4-$M$5:$M$34)+1)*$F$5:$F$34)*(Settings!$C$13="Lara")+SUMPRODUCT(($O$5:$O$34&gt;0)*(($Q$5:$Q$34-($Q$5:$Q$34&gt;AX$4+4)*($Q$5:$Q$34-AX$4-4)-$P$5:$P$34-($P$5:$P$34&lt;AX$4)*(AX$4-$P$5:$P$34)+1)&gt;0)*($Q$5:$Q$34-($Q$5:$Q$34&gt;AX$4+4)*($Q$5:$Q$34-AX$4-4)-$P$5:$P$34-($P$5:$P$34&lt;AX$4)*(AX$4-$P$5:$P$34)+1)*$F$5:$F$34)*(Settings!$C$14="Lara")+SUMPRODUCT(($R$5:$R$34&gt;0)*(($T$5:$T$34-($T$5:$T$34&gt;AX$4+4)*($T$5:$T$34-AX$4-4)-$S$5:$S$34-($S$5:$S$34&lt;AX$4)*(AX$4-$S$5:$S$34)+1)&gt;0)*($T$5:$T$34-($T$5:$T$34&gt;AX$4+4)*($T$5:$T$34-AX$4-4)-$S$5:$S$34-($S$5:$S$34&lt;AX$4)*(AX$4-$S$5:$S$34)+1)*$F$5:$F$34)*(Settings!$C$15="Lara")+SUMPRODUCT(($U$5:$U$34&gt;0)*(($W$5:$W$34-($W$5:$W$34&gt;AX$4+4)*($W$5:$W$34-AX$4-4)-$V$5:$V$34-($V$5:$V$34&lt;AX$4)*(AX$4-$V$5:$V$34)+1)&gt;0)*($W$5:$W$34-($W$5:$W$34&gt;AX$4+4)*($W$5:$W$34-AX$4-4)-$V$5:$V$34-($V$5:$V$34&lt;AX$4)*(AX$4-$V$5:$V$34)+1)*$F$5:$F$34)*(Settings!$C$16="Lara")+SUMPRODUCT(($X$5:$X$34&gt;0)*(($Z$5:$Z$34-($Z$5:$Z$34&gt;AX$4+4)*($Z$5:$Z$34-AX$4-4)-$Y$5:$Y$34-($Y$5:$Y$34&lt;AX$4)*(AX$4-$Y$5:$Y$34)+1)&gt;0)*($Z$5:$Z$34-($Z$5:$Z$34&gt;AX$4+4)*($Z$5:$Z$34-AX$4-4)-$Y$5:$Y$34-($Y$5:$Y$34&lt;AX$4)*(AX$4-$Y$5:$Y$34)+1)*$F$5:$F$34)*(Settings!$C$17="Lara")+SUMPRODUCT(($AA$5:$AA$34&gt;0)*(($AC$5:$AC$34-($AC$5:$AC$34&gt;AX$4+4)*($AC$5:$AC$34-AX$4-4)-$AB$5:$AB$34-($AB$5:$AB$34&lt;AX$4)*(AX$4-$AB$5:$AB$34)+1)&gt;0)*($AC$5:$AC$34-($AC$5:$AC$34&gt;AX$4+4)*($AC$5:$AC$34-AX$4-4)-$AB$5:$AB$34-($AB$5:$AB$34&lt;AX$4)*(AX$4-$AB$5:$AB$34)+1)*$F$5:$F$34)*(Settings!$C$18="Lara")+SUMPRODUCT(($AD$5:$AD$34&gt;0)*(($AF$5:$AF$34-($AF$5:$AF$34&gt;AX$4+4)*($AF$5:$AF$34-AX$4-4)-$AE$5:$AE$34-($AE$5:$AE$34&lt;AX$4)*(AX$4-$AE$5:$AE$34)+1)&gt;0)*($AF$5:$AF$34-($AF$5:$AF$34&gt;AX$4+4)*($AF$5:$AF$34-AX$4-4)-$AE$5:$AE$34-($AE$5:$AE$34&lt;AX$4)*(AX$4-$AE$5:$AE$34)+1)*$F$5:$F$34)*(Settings!$C$19="Lara"))/Settings!$C$5</f>
        <v/>
      </c>
      <c r="AY35" s="28">
        <f>(SUMPRODUCT(($I$5:$I$34&gt;0)*(($K$5:$K$34-($K$5:$K$34&gt;AY$4+4)*($K$5:$K$34-AY$4-4)-$J$5:$J$34-($J$5:$J$34&lt;AY$4)*(AY$4-$J$5:$J$34)+1)&gt;0)*($K$5:$K$34-($K$5:$K$34&gt;AY$4+4)*($K$5:$K$34-AY$4-4)-$J$5:$J$34-($J$5:$J$34&lt;AY$4)*(AY$4-$J$5:$J$34)+1)*$F$5:$F$34)*(Settings!$C$12="Lara")+SUMPRODUCT(($L$5:$L$34&gt;0)*(($N$5:$N$34-($N$5:$N$34&gt;AY$4+4)*($N$5:$N$34-AY$4-4)-$M$5:$M$34-($M$5:$M$34&lt;AY$4)*(AY$4-$M$5:$M$34)+1)&gt;0)*($N$5:$N$34-($N$5:$N$34&gt;AY$4+4)*($N$5:$N$34-AY$4-4)-$M$5:$M$34-($M$5:$M$34&lt;AY$4)*(AY$4-$M$5:$M$34)+1)*$F$5:$F$34)*(Settings!$C$13="Lara")+SUMPRODUCT(($O$5:$O$34&gt;0)*(($Q$5:$Q$34-($Q$5:$Q$34&gt;AY$4+4)*($Q$5:$Q$34-AY$4-4)-$P$5:$P$34-($P$5:$P$34&lt;AY$4)*(AY$4-$P$5:$P$34)+1)&gt;0)*($Q$5:$Q$34-($Q$5:$Q$34&gt;AY$4+4)*($Q$5:$Q$34-AY$4-4)-$P$5:$P$34-($P$5:$P$34&lt;AY$4)*(AY$4-$P$5:$P$34)+1)*$F$5:$F$34)*(Settings!$C$14="Lara")+SUMPRODUCT(($R$5:$R$34&gt;0)*(($T$5:$T$34-($T$5:$T$34&gt;AY$4+4)*($T$5:$T$34-AY$4-4)-$S$5:$S$34-($S$5:$S$34&lt;AY$4)*(AY$4-$S$5:$S$34)+1)&gt;0)*($T$5:$T$34-($T$5:$T$34&gt;AY$4+4)*($T$5:$T$34-AY$4-4)-$S$5:$S$34-($S$5:$S$34&lt;AY$4)*(AY$4-$S$5:$S$34)+1)*$F$5:$F$34)*(Settings!$C$15="Lara")+SUMPRODUCT(($U$5:$U$34&gt;0)*(($W$5:$W$34-($W$5:$W$34&gt;AY$4+4)*($W$5:$W$34-AY$4-4)-$V$5:$V$34-($V$5:$V$34&lt;AY$4)*(AY$4-$V$5:$V$34)+1)&gt;0)*($W$5:$W$34-($W$5:$W$34&gt;AY$4+4)*($W$5:$W$34-AY$4-4)-$V$5:$V$34-($V$5:$V$34&lt;AY$4)*(AY$4-$V$5:$V$34)+1)*$F$5:$F$34)*(Settings!$C$16="Lara")+SUMPRODUCT(($X$5:$X$34&gt;0)*(($Z$5:$Z$34-($Z$5:$Z$34&gt;AY$4+4)*($Z$5:$Z$34-AY$4-4)-$Y$5:$Y$34-($Y$5:$Y$34&lt;AY$4)*(AY$4-$Y$5:$Y$34)+1)&gt;0)*($Z$5:$Z$34-($Z$5:$Z$34&gt;AY$4+4)*($Z$5:$Z$34-AY$4-4)-$Y$5:$Y$34-($Y$5:$Y$34&lt;AY$4)*(AY$4-$Y$5:$Y$34)+1)*$F$5:$F$34)*(Settings!$C$17="Lara")+SUMPRODUCT(($AA$5:$AA$34&gt;0)*(($AC$5:$AC$34-($AC$5:$AC$34&gt;AY$4+4)*($AC$5:$AC$34-AY$4-4)-$AB$5:$AB$34-($AB$5:$AB$34&lt;AY$4)*(AY$4-$AB$5:$AB$34)+1)&gt;0)*($AC$5:$AC$34-($AC$5:$AC$34&gt;AY$4+4)*($AC$5:$AC$34-AY$4-4)-$AB$5:$AB$34-($AB$5:$AB$34&lt;AY$4)*(AY$4-$AB$5:$AB$34)+1)*$F$5:$F$34)*(Settings!$C$18="Lara")+SUMPRODUCT(($AD$5:$AD$34&gt;0)*(($AF$5:$AF$34-($AF$5:$AF$34&gt;AY$4+4)*($AF$5:$AF$34-AY$4-4)-$AE$5:$AE$34-($AE$5:$AE$34&lt;AY$4)*(AY$4-$AE$5:$AE$34)+1)&gt;0)*($AF$5:$AF$34-($AF$5:$AF$34&gt;AY$4+4)*($AF$5:$AF$34-AY$4-4)-$AE$5:$AE$34-($AE$5:$AE$34&lt;AY$4)*(AY$4-$AE$5:$AE$34)+1)*$F$5:$F$34)*(Settings!$C$19="Lara"))/Settings!$C$5</f>
        <v/>
      </c>
      <c r="AZ35" s="28">
        <f>(SUMPRODUCT(($I$5:$I$34&gt;0)*(($K$5:$K$34-($K$5:$K$34&gt;AZ$4+4)*($K$5:$K$34-AZ$4-4)-$J$5:$J$34-($J$5:$J$34&lt;AZ$4)*(AZ$4-$J$5:$J$34)+1)&gt;0)*($K$5:$K$34-($K$5:$K$34&gt;AZ$4+4)*($K$5:$K$34-AZ$4-4)-$J$5:$J$34-($J$5:$J$34&lt;AZ$4)*(AZ$4-$J$5:$J$34)+1)*$F$5:$F$34)*(Settings!$C$12="Lara")+SUMPRODUCT(($L$5:$L$34&gt;0)*(($N$5:$N$34-($N$5:$N$34&gt;AZ$4+4)*($N$5:$N$34-AZ$4-4)-$M$5:$M$34-($M$5:$M$34&lt;AZ$4)*(AZ$4-$M$5:$M$34)+1)&gt;0)*($N$5:$N$34-($N$5:$N$34&gt;AZ$4+4)*($N$5:$N$34-AZ$4-4)-$M$5:$M$34-($M$5:$M$34&lt;AZ$4)*(AZ$4-$M$5:$M$34)+1)*$F$5:$F$34)*(Settings!$C$13="Lara")+SUMPRODUCT(($O$5:$O$34&gt;0)*(($Q$5:$Q$34-($Q$5:$Q$34&gt;AZ$4+4)*($Q$5:$Q$34-AZ$4-4)-$P$5:$P$34-($P$5:$P$34&lt;AZ$4)*(AZ$4-$P$5:$P$34)+1)&gt;0)*($Q$5:$Q$34-($Q$5:$Q$34&gt;AZ$4+4)*($Q$5:$Q$34-AZ$4-4)-$P$5:$P$34-($P$5:$P$34&lt;AZ$4)*(AZ$4-$P$5:$P$34)+1)*$F$5:$F$34)*(Settings!$C$14="Lara")+SUMPRODUCT(($R$5:$R$34&gt;0)*(($T$5:$T$34-($T$5:$T$34&gt;AZ$4+4)*($T$5:$T$34-AZ$4-4)-$S$5:$S$34-($S$5:$S$34&lt;AZ$4)*(AZ$4-$S$5:$S$34)+1)&gt;0)*($T$5:$T$34-($T$5:$T$34&gt;AZ$4+4)*($T$5:$T$34-AZ$4-4)-$S$5:$S$34-($S$5:$S$34&lt;AZ$4)*(AZ$4-$S$5:$S$34)+1)*$F$5:$F$34)*(Settings!$C$15="Lara")+SUMPRODUCT(($U$5:$U$34&gt;0)*(($W$5:$W$34-($W$5:$W$34&gt;AZ$4+4)*($W$5:$W$34-AZ$4-4)-$V$5:$V$34-($V$5:$V$34&lt;AZ$4)*(AZ$4-$V$5:$V$34)+1)&gt;0)*($W$5:$W$34-($W$5:$W$34&gt;AZ$4+4)*($W$5:$W$34-AZ$4-4)-$V$5:$V$34-($V$5:$V$34&lt;AZ$4)*(AZ$4-$V$5:$V$34)+1)*$F$5:$F$34)*(Settings!$C$16="Lara")+SUMPRODUCT(($X$5:$X$34&gt;0)*(($Z$5:$Z$34-($Z$5:$Z$34&gt;AZ$4+4)*($Z$5:$Z$34-AZ$4-4)-$Y$5:$Y$34-($Y$5:$Y$34&lt;AZ$4)*(AZ$4-$Y$5:$Y$34)+1)&gt;0)*($Z$5:$Z$34-($Z$5:$Z$34&gt;AZ$4+4)*($Z$5:$Z$34-AZ$4-4)-$Y$5:$Y$34-($Y$5:$Y$34&lt;AZ$4)*(AZ$4-$Y$5:$Y$34)+1)*$F$5:$F$34)*(Settings!$C$17="Lara")+SUMPRODUCT(($AA$5:$AA$34&gt;0)*(($AC$5:$AC$34-($AC$5:$AC$34&gt;AZ$4+4)*($AC$5:$AC$34-AZ$4-4)-$AB$5:$AB$34-($AB$5:$AB$34&lt;AZ$4)*(AZ$4-$AB$5:$AB$34)+1)&gt;0)*($AC$5:$AC$34-($AC$5:$AC$34&gt;AZ$4+4)*($AC$5:$AC$34-AZ$4-4)-$AB$5:$AB$34-($AB$5:$AB$34&lt;AZ$4)*(AZ$4-$AB$5:$AB$34)+1)*$F$5:$F$34)*(Settings!$C$18="Lara")+SUMPRODUCT(($AD$5:$AD$34&gt;0)*(($AF$5:$AF$34-($AF$5:$AF$34&gt;AZ$4+4)*($AF$5:$AF$34-AZ$4-4)-$AE$5:$AE$34-($AE$5:$AE$34&lt;AZ$4)*(AZ$4-$AE$5:$AE$34)+1)&gt;0)*($AF$5:$AF$34-($AF$5:$AF$34&gt;AZ$4+4)*($AF$5:$AF$34-AZ$4-4)-$AE$5:$AE$34-($AE$5:$AE$34&lt;AZ$4)*(AZ$4-$AE$5:$AE$34)+1)*$F$5:$F$34)*(Settings!$C$19="Lara"))/Settings!$C$5</f>
        <v/>
      </c>
      <c r="BA35" s="28">
        <f>(SUMPRODUCT(($I$5:$I$34&gt;0)*(($K$5:$K$34-($K$5:$K$34&gt;BA$4+4)*($K$5:$K$34-BA$4-4)-$J$5:$J$34-($J$5:$J$34&lt;BA$4)*(BA$4-$J$5:$J$34)+1)&gt;0)*($K$5:$K$34-($K$5:$K$34&gt;BA$4+4)*($K$5:$K$34-BA$4-4)-$J$5:$J$34-($J$5:$J$34&lt;BA$4)*(BA$4-$J$5:$J$34)+1)*$F$5:$F$34)*(Settings!$C$12="Lara")+SUMPRODUCT(($L$5:$L$34&gt;0)*(($N$5:$N$34-($N$5:$N$34&gt;BA$4+4)*($N$5:$N$34-BA$4-4)-$M$5:$M$34-($M$5:$M$34&lt;BA$4)*(BA$4-$M$5:$M$34)+1)&gt;0)*($N$5:$N$34-($N$5:$N$34&gt;BA$4+4)*($N$5:$N$34-BA$4-4)-$M$5:$M$34-($M$5:$M$34&lt;BA$4)*(BA$4-$M$5:$M$34)+1)*$F$5:$F$34)*(Settings!$C$13="Lara")+SUMPRODUCT(($O$5:$O$34&gt;0)*(($Q$5:$Q$34-($Q$5:$Q$34&gt;BA$4+4)*($Q$5:$Q$34-BA$4-4)-$P$5:$P$34-($P$5:$P$34&lt;BA$4)*(BA$4-$P$5:$P$34)+1)&gt;0)*($Q$5:$Q$34-($Q$5:$Q$34&gt;BA$4+4)*($Q$5:$Q$34-BA$4-4)-$P$5:$P$34-($P$5:$P$34&lt;BA$4)*(BA$4-$P$5:$P$34)+1)*$F$5:$F$34)*(Settings!$C$14="Lara")+SUMPRODUCT(($R$5:$R$34&gt;0)*(($T$5:$T$34-($T$5:$T$34&gt;BA$4+4)*($T$5:$T$34-BA$4-4)-$S$5:$S$34-($S$5:$S$34&lt;BA$4)*(BA$4-$S$5:$S$34)+1)&gt;0)*($T$5:$T$34-($T$5:$T$34&gt;BA$4+4)*($T$5:$T$34-BA$4-4)-$S$5:$S$34-($S$5:$S$34&lt;BA$4)*(BA$4-$S$5:$S$34)+1)*$F$5:$F$34)*(Settings!$C$15="Lara")+SUMPRODUCT(($U$5:$U$34&gt;0)*(($W$5:$W$34-($W$5:$W$34&gt;BA$4+4)*($W$5:$W$34-BA$4-4)-$V$5:$V$34-($V$5:$V$34&lt;BA$4)*(BA$4-$V$5:$V$34)+1)&gt;0)*($W$5:$W$34-($W$5:$W$34&gt;BA$4+4)*($W$5:$W$34-BA$4-4)-$V$5:$V$34-($V$5:$V$34&lt;BA$4)*(BA$4-$V$5:$V$34)+1)*$F$5:$F$34)*(Settings!$C$16="Lara")+SUMPRODUCT(($X$5:$X$34&gt;0)*(($Z$5:$Z$34-($Z$5:$Z$34&gt;BA$4+4)*($Z$5:$Z$34-BA$4-4)-$Y$5:$Y$34-($Y$5:$Y$34&lt;BA$4)*(BA$4-$Y$5:$Y$34)+1)&gt;0)*($Z$5:$Z$34-($Z$5:$Z$34&gt;BA$4+4)*($Z$5:$Z$34-BA$4-4)-$Y$5:$Y$34-($Y$5:$Y$34&lt;BA$4)*(BA$4-$Y$5:$Y$34)+1)*$F$5:$F$34)*(Settings!$C$17="Lara")+SUMPRODUCT(($AA$5:$AA$34&gt;0)*(($AC$5:$AC$34-($AC$5:$AC$34&gt;BA$4+4)*($AC$5:$AC$34-BA$4-4)-$AB$5:$AB$34-($AB$5:$AB$34&lt;BA$4)*(BA$4-$AB$5:$AB$34)+1)&gt;0)*($AC$5:$AC$34-($AC$5:$AC$34&gt;BA$4+4)*($AC$5:$AC$34-BA$4-4)-$AB$5:$AB$34-($AB$5:$AB$34&lt;BA$4)*(BA$4-$AB$5:$AB$34)+1)*$F$5:$F$34)*(Settings!$C$18="Lara")+SUMPRODUCT(($AD$5:$AD$34&gt;0)*(($AF$5:$AF$34-($AF$5:$AF$34&gt;BA$4+4)*($AF$5:$AF$34-BA$4-4)-$AE$5:$AE$34-($AE$5:$AE$34&lt;BA$4)*(BA$4-$AE$5:$AE$34)+1)&gt;0)*($AF$5:$AF$34-($AF$5:$AF$34&gt;BA$4+4)*($AF$5:$AF$34-BA$4-4)-$AE$5:$AE$34-($AE$5:$AE$34&lt;BA$4)*(BA$4-$AE$5:$AE$34)+1)*$F$5:$F$34)*(Settings!$C$19="Lara"))/Settings!$C$5</f>
        <v/>
      </c>
      <c r="BB35" s="28">
        <f>(SUMPRODUCT(($I$5:$I$34&gt;0)*(($K$5:$K$34-($K$5:$K$34&gt;BB$4+4)*($K$5:$K$34-BB$4-4)-$J$5:$J$34-($J$5:$J$34&lt;BB$4)*(BB$4-$J$5:$J$34)+1)&gt;0)*($K$5:$K$34-($K$5:$K$34&gt;BB$4+4)*($K$5:$K$34-BB$4-4)-$J$5:$J$34-($J$5:$J$34&lt;BB$4)*(BB$4-$J$5:$J$34)+1)*$F$5:$F$34)*(Settings!$C$12="Lara")+SUMPRODUCT(($L$5:$L$34&gt;0)*(($N$5:$N$34-($N$5:$N$34&gt;BB$4+4)*($N$5:$N$34-BB$4-4)-$M$5:$M$34-($M$5:$M$34&lt;BB$4)*(BB$4-$M$5:$M$34)+1)&gt;0)*($N$5:$N$34-($N$5:$N$34&gt;BB$4+4)*($N$5:$N$34-BB$4-4)-$M$5:$M$34-($M$5:$M$34&lt;BB$4)*(BB$4-$M$5:$M$34)+1)*$F$5:$F$34)*(Settings!$C$13="Lara")+SUMPRODUCT(($O$5:$O$34&gt;0)*(($Q$5:$Q$34-($Q$5:$Q$34&gt;BB$4+4)*($Q$5:$Q$34-BB$4-4)-$P$5:$P$34-($P$5:$P$34&lt;BB$4)*(BB$4-$P$5:$P$34)+1)&gt;0)*($Q$5:$Q$34-($Q$5:$Q$34&gt;BB$4+4)*($Q$5:$Q$34-BB$4-4)-$P$5:$P$34-($P$5:$P$34&lt;BB$4)*(BB$4-$P$5:$P$34)+1)*$F$5:$F$34)*(Settings!$C$14="Lara")+SUMPRODUCT(($R$5:$R$34&gt;0)*(($T$5:$T$34-($T$5:$T$34&gt;BB$4+4)*($T$5:$T$34-BB$4-4)-$S$5:$S$34-($S$5:$S$34&lt;BB$4)*(BB$4-$S$5:$S$34)+1)&gt;0)*($T$5:$T$34-($T$5:$T$34&gt;BB$4+4)*($T$5:$T$34-BB$4-4)-$S$5:$S$34-($S$5:$S$34&lt;BB$4)*(BB$4-$S$5:$S$34)+1)*$F$5:$F$34)*(Settings!$C$15="Lara")+SUMPRODUCT(($U$5:$U$34&gt;0)*(($W$5:$W$34-($W$5:$W$34&gt;BB$4+4)*($W$5:$W$34-BB$4-4)-$V$5:$V$34-($V$5:$V$34&lt;BB$4)*(BB$4-$V$5:$V$34)+1)&gt;0)*($W$5:$W$34-($W$5:$W$34&gt;BB$4+4)*($W$5:$W$34-BB$4-4)-$V$5:$V$34-($V$5:$V$34&lt;BB$4)*(BB$4-$V$5:$V$34)+1)*$F$5:$F$34)*(Settings!$C$16="Lara")+SUMPRODUCT(($X$5:$X$34&gt;0)*(($Z$5:$Z$34-($Z$5:$Z$34&gt;BB$4+4)*($Z$5:$Z$34-BB$4-4)-$Y$5:$Y$34-($Y$5:$Y$34&lt;BB$4)*(BB$4-$Y$5:$Y$34)+1)&gt;0)*($Z$5:$Z$34-($Z$5:$Z$34&gt;BB$4+4)*($Z$5:$Z$34-BB$4-4)-$Y$5:$Y$34-($Y$5:$Y$34&lt;BB$4)*(BB$4-$Y$5:$Y$34)+1)*$F$5:$F$34)*(Settings!$C$17="Lara")+SUMPRODUCT(($AA$5:$AA$34&gt;0)*(($AC$5:$AC$34-($AC$5:$AC$34&gt;BB$4+4)*($AC$5:$AC$34-BB$4-4)-$AB$5:$AB$34-($AB$5:$AB$34&lt;BB$4)*(BB$4-$AB$5:$AB$34)+1)&gt;0)*($AC$5:$AC$34-($AC$5:$AC$34&gt;BB$4+4)*($AC$5:$AC$34-BB$4-4)-$AB$5:$AB$34-($AB$5:$AB$34&lt;BB$4)*(BB$4-$AB$5:$AB$34)+1)*$F$5:$F$34)*(Settings!$C$18="Lara")+SUMPRODUCT(($AD$5:$AD$34&gt;0)*(($AF$5:$AF$34-($AF$5:$AF$34&gt;BB$4+4)*($AF$5:$AF$34-BB$4-4)-$AE$5:$AE$34-($AE$5:$AE$34&lt;BB$4)*(BB$4-$AE$5:$AE$34)+1)&gt;0)*($AF$5:$AF$34-($AF$5:$AF$34&gt;BB$4+4)*($AF$5:$AF$34-BB$4-4)-$AE$5:$AE$34-($AE$5:$AE$34&lt;BB$4)*(BB$4-$AE$5:$AE$34)+1)*$F$5:$F$34)*(Settings!$C$19="Lara"))/Settings!$C$5</f>
        <v/>
      </c>
      <c r="BC35" s="28">
        <f>(SUMPRODUCT(($I$5:$I$34&gt;0)*(($K$5:$K$34-($K$5:$K$34&gt;BC$4+4)*($K$5:$K$34-BC$4-4)-$J$5:$J$34-($J$5:$J$34&lt;BC$4)*(BC$4-$J$5:$J$34)+1)&gt;0)*($K$5:$K$34-($K$5:$K$34&gt;BC$4+4)*($K$5:$K$34-BC$4-4)-$J$5:$J$34-($J$5:$J$34&lt;BC$4)*(BC$4-$J$5:$J$34)+1)*$F$5:$F$34)*(Settings!$C$12="Lara")+SUMPRODUCT(($L$5:$L$34&gt;0)*(($N$5:$N$34-($N$5:$N$34&gt;BC$4+4)*($N$5:$N$34-BC$4-4)-$M$5:$M$34-($M$5:$M$34&lt;BC$4)*(BC$4-$M$5:$M$34)+1)&gt;0)*($N$5:$N$34-($N$5:$N$34&gt;BC$4+4)*($N$5:$N$34-BC$4-4)-$M$5:$M$34-($M$5:$M$34&lt;BC$4)*(BC$4-$M$5:$M$34)+1)*$F$5:$F$34)*(Settings!$C$13="Lara")+SUMPRODUCT(($O$5:$O$34&gt;0)*(($Q$5:$Q$34-($Q$5:$Q$34&gt;BC$4+4)*($Q$5:$Q$34-BC$4-4)-$P$5:$P$34-($P$5:$P$34&lt;BC$4)*(BC$4-$P$5:$P$34)+1)&gt;0)*($Q$5:$Q$34-($Q$5:$Q$34&gt;BC$4+4)*($Q$5:$Q$34-BC$4-4)-$P$5:$P$34-($P$5:$P$34&lt;BC$4)*(BC$4-$P$5:$P$34)+1)*$F$5:$F$34)*(Settings!$C$14="Lara")+SUMPRODUCT(($R$5:$R$34&gt;0)*(($T$5:$T$34-($T$5:$T$34&gt;BC$4+4)*($T$5:$T$34-BC$4-4)-$S$5:$S$34-($S$5:$S$34&lt;BC$4)*(BC$4-$S$5:$S$34)+1)&gt;0)*($T$5:$T$34-($T$5:$T$34&gt;BC$4+4)*($T$5:$T$34-BC$4-4)-$S$5:$S$34-($S$5:$S$34&lt;BC$4)*(BC$4-$S$5:$S$34)+1)*$F$5:$F$34)*(Settings!$C$15="Lara")+SUMPRODUCT(($U$5:$U$34&gt;0)*(($W$5:$W$34-($W$5:$W$34&gt;BC$4+4)*($W$5:$W$34-BC$4-4)-$V$5:$V$34-($V$5:$V$34&lt;BC$4)*(BC$4-$V$5:$V$34)+1)&gt;0)*($W$5:$W$34-($W$5:$W$34&gt;BC$4+4)*($W$5:$W$34-BC$4-4)-$V$5:$V$34-($V$5:$V$34&lt;BC$4)*(BC$4-$V$5:$V$34)+1)*$F$5:$F$34)*(Settings!$C$16="Lara")+SUMPRODUCT(($X$5:$X$34&gt;0)*(($Z$5:$Z$34-($Z$5:$Z$34&gt;BC$4+4)*($Z$5:$Z$34-BC$4-4)-$Y$5:$Y$34-($Y$5:$Y$34&lt;BC$4)*(BC$4-$Y$5:$Y$34)+1)&gt;0)*($Z$5:$Z$34-($Z$5:$Z$34&gt;BC$4+4)*($Z$5:$Z$34-BC$4-4)-$Y$5:$Y$34-($Y$5:$Y$34&lt;BC$4)*(BC$4-$Y$5:$Y$34)+1)*$F$5:$F$34)*(Settings!$C$17="Lara")+SUMPRODUCT(($AA$5:$AA$34&gt;0)*(($AC$5:$AC$34-($AC$5:$AC$34&gt;BC$4+4)*($AC$5:$AC$34-BC$4-4)-$AB$5:$AB$34-($AB$5:$AB$34&lt;BC$4)*(BC$4-$AB$5:$AB$34)+1)&gt;0)*($AC$5:$AC$34-($AC$5:$AC$34&gt;BC$4+4)*($AC$5:$AC$34-BC$4-4)-$AB$5:$AB$34-($AB$5:$AB$34&lt;BC$4)*(BC$4-$AB$5:$AB$34)+1)*$F$5:$F$34)*(Settings!$C$18="Lara")+SUMPRODUCT(($AD$5:$AD$34&gt;0)*(($AF$5:$AF$34-($AF$5:$AF$34&gt;BC$4+4)*($AF$5:$AF$34-BC$4-4)-$AE$5:$AE$34-($AE$5:$AE$34&lt;BC$4)*(BC$4-$AE$5:$AE$34)+1)&gt;0)*($AF$5:$AF$34-($AF$5:$AF$34&gt;BC$4+4)*($AF$5:$AF$34-BC$4-4)-$AE$5:$AE$34-($AE$5:$AE$34&lt;BC$4)*(BC$4-$AE$5:$AE$34)+1)*$F$5:$F$34)*(Settings!$C$19="Lara"))/Settings!$C$5</f>
        <v/>
      </c>
      <c r="BD35" s="28">
        <f>(SUMPRODUCT(($I$5:$I$34&gt;0)*(($K$5:$K$34-($K$5:$K$34&gt;BD$4+4)*($K$5:$K$34-BD$4-4)-$J$5:$J$34-($J$5:$J$34&lt;BD$4)*(BD$4-$J$5:$J$34)+1)&gt;0)*($K$5:$K$34-($K$5:$K$34&gt;BD$4+4)*($K$5:$K$34-BD$4-4)-$J$5:$J$34-($J$5:$J$34&lt;BD$4)*(BD$4-$J$5:$J$34)+1)*$F$5:$F$34)*(Settings!$C$12="Lara")+SUMPRODUCT(($L$5:$L$34&gt;0)*(($N$5:$N$34-($N$5:$N$34&gt;BD$4+4)*($N$5:$N$34-BD$4-4)-$M$5:$M$34-($M$5:$M$34&lt;BD$4)*(BD$4-$M$5:$M$34)+1)&gt;0)*($N$5:$N$34-($N$5:$N$34&gt;BD$4+4)*($N$5:$N$34-BD$4-4)-$M$5:$M$34-($M$5:$M$34&lt;BD$4)*(BD$4-$M$5:$M$34)+1)*$F$5:$F$34)*(Settings!$C$13="Lara")+SUMPRODUCT(($O$5:$O$34&gt;0)*(($Q$5:$Q$34-($Q$5:$Q$34&gt;BD$4+4)*($Q$5:$Q$34-BD$4-4)-$P$5:$P$34-($P$5:$P$34&lt;BD$4)*(BD$4-$P$5:$P$34)+1)&gt;0)*($Q$5:$Q$34-($Q$5:$Q$34&gt;BD$4+4)*($Q$5:$Q$34-BD$4-4)-$P$5:$P$34-($P$5:$P$34&lt;BD$4)*(BD$4-$P$5:$P$34)+1)*$F$5:$F$34)*(Settings!$C$14="Lara")+SUMPRODUCT(($R$5:$R$34&gt;0)*(($T$5:$T$34-($T$5:$T$34&gt;BD$4+4)*($T$5:$T$34-BD$4-4)-$S$5:$S$34-($S$5:$S$34&lt;BD$4)*(BD$4-$S$5:$S$34)+1)&gt;0)*($T$5:$T$34-($T$5:$T$34&gt;BD$4+4)*($T$5:$T$34-BD$4-4)-$S$5:$S$34-($S$5:$S$34&lt;BD$4)*(BD$4-$S$5:$S$34)+1)*$F$5:$F$34)*(Settings!$C$15="Lara")+SUMPRODUCT(($U$5:$U$34&gt;0)*(($W$5:$W$34-($W$5:$W$34&gt;BD$4+4)*($W$5:$W$34-BD$4-4)-$V$5:$V$34-($V$5:$V$34&lt;BD$4)*(BD$4-$V$5:$V$34)+1)&gt;0)*($W$5:$W$34-($W$5:$W$34&gt;BD$4+4)*($W$5:$W$34-BD$4-4)-$V$5:$V$34-($V$5:$V$34&lt;BD$4)*(BD$4-$V$5:$V$34)+1)*$F$5:$F$34)*(Settings!$C$16="Lara")+SUMPRODUCT(($X$5:$X$34&gt;0)*(($Z$5:$Z$34-($Z$5:$Z$34&gt;BD$4+4)*($Z$5:$Z$34-BD$4-4)-$Y$5:$Y$34-($Y$5:$Y$34&lt;BD$4)*(BD$4-$Y$5:$Y$34)+1)&gt;0)*($Z$5:$Z$34-($Z$5:$Z$34&gt;BD$4+4)*($Z$5:$Z$34-BD$4-4)-$Y$5:$Y$34-($Y$5:$Y$34&lt;BD$4)*(BD$4-$Y$5:$Y$34)+1)*$F$5:$F$34)*(Settings!$C$17="Lara")+SUMPRODUCT(($AA$5:$AA$34&gt;0)*(($AC$5:$AC$34-($AC$5:$AC$34&gt;BD$4+4)*($AC$5:$AC$34-BD$4-4)-$AB$5:$AB$34-($AB$5:$AB$34&lt;BD$4)*(BD$4-$AB$5:$AB$34)+1)&gt;0)*($AC$5:$AC$34-($AC$5:$AC$34&gt;BD$4+4)*($AC$5:$AC$34-BD$4-4)-$AB$5:$AB$34-($AB$5:$AB$34&lt;BD$4)*(BD$4-$AB$5:$AB$34)+1)*$F$5:$F$34)*(Settings!$C$18="Lara")+SUMPRODUCT(($AD$5:$AD$34&gt;0)*(($AF$5:$AF$34-($AF$5:$AF$34&gt;BD$4+4)*($AF$5:$AF$34-BD$4-4)-$AE$5:$AE$34-($AE$5:$AE$34&lt;BD$4)*(BD$4-$AE$5:$AE$34)+1)&gt;0)*($AF$5:$AF$34-($AF$5:$AF$34&gt;BD$4+4)*($AF$5:$AF$34-BD$4-4)-$AE$5:$AE$34-($AE$5:$AE$34&lt;BD$4)*(BD$4-$AE$5:$AE$34)+1)*$F$5:$F$34)*(Settings!$C$19="Lara"))/Settings!$C$5</f>
        <v/>
      </c>
      <c r="BE35" s="28">
        <f>(SUMPRODUCT(($I$5:$I$34&gt;0)*(($K$5:$K$34-($K$5:$K$34&gt;BE$4+4)*($K$5:$K$34-BE$4-4)-$J$5:$J$34-($J$5:$J$34&lt;BE$4)*(BE$4-$J$5:$J$34)+1)&gt;0)*($K$5:$K$34-($K$5:$K$34&gt;BE$4+4)*($K$5:$K$34-BE$4-4)-$J$5:$J$34-($J$5:$J$34&lt;BE$4)*(BE$4-$J$5:$J$34)+1)*$F$5:$F$34)*(Settings!$C$12="Lara")+SUMPRODUCT(($L$5:$L$34&gt;0)*(($N$5:$N$34-($N$5:$N$34&gt;BE$4+4)*($N$5:$N$34-BE$4-4)-$M$5:$M$34-($M$5:$M$34&lt;BE$4)*(BE$4-$M$5:$M$34)+1)&gt;0)*($N$5:$N$34-($N$5:$N$34&gt;BE$4+4)*($N$5:$N$34-BE$4-4)-$M$5:$M$34-($M$5:$M$34&lt;BE$4)*(BE$4-$M$5:$M$34)+1)*$F$5:$F$34)*(Settings!$C$13="Lara")+SUMPRODUCT(($O$5:$O$34&gt;0)*(($Q$5:$Q$34-($Q$5:$Q$34&gt;BE$4+4)*($Q$5:$Q$34-BE$4-4)-$P$5:$P$34-($P$5:$P$34&lt;BE$4)*(BE$4-$P$5:$P$34)+1)&gt;0)*($Q$5:$Q$34-($Q$5:$Q$34&gt;BE$4+4)*($Q$5:$Q$34-BE$4-4)-$P$5:$P$34-($P$5:$P$34&lt;BE$4)*(BE$4-$P$5:$P$34)+1)*$F$5:$F$34)*(Settings!$C$14="Lara")+SUMPRODUCT(($R$5:$R$34&gt;0)*(($T$5:$T$34-($T$5:$T$34&gt;BE$4+4)*($T$5:$T$34-BE$4-4)-$S$5:$S$34-($S$5:$S$34&lt;BE$4)*(BE$4-$S$5:$S$34)+1)&gt;0)*($T$5:$T$34-($T$5:$T$34&gt;BE$4+4)*($T$5:$T$34-BE$4-4)-$S$5:$S$34-($S$5:$S$34&lt;BE$4)*(BE$4-$S$5:$S$34)+1)*$F$5:$F$34)*(Settings!$C$15="Lara")+SUMPRODUCT(($U$5:$U$34&gt;0)*(($W$5:$W$34-($W$5:$W$34&gt;BE$4+4)*($W$5:$W$34-BE$4-4)-$V$5:$V$34-($V$5:$V$34&lt;BE$4)*(BE$4-$V$5:$V$34)+1)&gt;0)*($W$5:$W$34-($W$5:$W$34&gt;BE$4+4)*($W$5:$W$34-BE$4-4)-$V$5:$V$34-($V$5:$V$34&lt;BE$4)*(BE$4-$V$5:$V$34)+1)*$F$5:$F$34)*(Settings!$C$16="Lara")+SUMPRODUCT(($X$5:$X$34&gt;0)*(($Z$5:$Z$34-($Z$5:$Z$34&gt;BE$4+4)*($Z$5:$Z$34-BE$4-4)-$Y$5:$Y$34-($Y$5:$Y$34&lt;BE$4)*(BE$4-$Y$5:$Y$34)+1)&gt;0)*($Z$5:$Z$34-($Z$5:$Z$34&gt;BE$4+4)*($Z$5:$Z$34-BE$4-4)-$Y$5:$Y$34-($Y$5:$Y$34&lt;BE$4)*(BE$4-$Y$5:$Y$34)+1)*$F$5:$F$34)*(Settings!$C$17="Lara")+SUMPRODUCT(($AA$5:$AA$34&gt;0)*(($AC$5:$AC$34-($AC$5:$AC$34&gt;BE$4+4)*($AC$5:$AC$34-BE$4-4)-$AB$5:$AB$34-($AB$5:$AB$34&lt;BE$4)*(BE$4-$AB$5:$AB$34)+1)&gt;0)*($AC$5:$AC$34-($AC$5:$AC$34&gt;BE$4+4)*($AC$5:$AC$34-BE$4-4)-$AB$5:$AB$34-($AB$5:$AB$34&lt;BE$4)*(BE$4-$AB$5:$AB$34)+1)*$F$5:$F$34)*(Settings!$C$18="Lara")+SUMPRODUCT(($AD$5:$AD$34&gt;0)*(($AF$5:$AF$34-($AF$5:$AF$34&gt;BE$4+4)*($AF$5:$AF$34-BE$4-4)-$AE$5:$AE$34-($AE$5:$AE$34&lt;BE$4)*(BE$4-$AE$5:$AE$34)+1)&gt;0)*($AF$5:$AF$34-($AF$5:$AF$34&gt;BE$4+4)*($AF$5:$AF$34-BE$4-4)-$AE$5:$AE$34-($AE$5:$AE$34&lt;BE$4)*(BE$4-$AE$5:$AE$34)+1)*$F$5:$F$34)*(Settings!$C$19="Lara"))/Settings!$C$5</f>
        <v/>
      </c>
      <c r="BF35" s="28">
        <f>(SUMPRODUCT(($I$5:$I$34&gt;0)*(($K$5:$K$34-($K$5:$K$34&gt;BF$4+4)*($K$5:$K$34-BF$4-4)-$J$5:$J$34-($J$5:$J$34&lt;BF$4)*(BF$4-$J$5:$J$34)+1)&gt;0)*($K$5:$K$34-($K$5:$K$34&gt;BF$4+4)*($K$5:$K$34-BF$4-4)-$J$5:$J$34-($J$5:$J$34&lt;BF$4)*(BF$4-$J$5:$J$34)+1)*$F$5:$F$34)*(Settings!$C$12="Lara")+SUMPRODUCT(($L$5:$L$34&gt;0)*(($N$5:$N$34-($N$5:$N$34&gt;BF$4+4)*($N$5:$N$34-BF$4-4)-$M$5:$M$34-($M$5:$M$34&lt;BF$4)*(BF$4-$M$5:$M$34)+1)&gt;0)*($N$5:$N$34-($N$5:$N$34&gt;BF$4+4)*($N$5:$N$34-BF$4-4)-$M$5:$M$34-($M$5:$M$34&lt;BF$4)*(BF$4-$M$5:$M$34)+1)*$F$5:$F$34)*(Settings!$C$13="Lara")+SUMPRODUCT(($O$5:$O$34&gt;0)*(($Q$5:$Q$34-($Q$5:$Q$34&gt;BF$4+4)*($Q$5:$Q$34-BF$4-4)-$P$5:$P$34-($P$5:$P$34&lt;BF$4)*(BF$4-$P$5:$P$34)+1)&gt;0)*($Q$5:$Q$34-($Q$5:$Q$34&gt;BF$4+4)*($Q$5:$Q$34-BF$4-4)-$P$5:$P$34-($P$5:$P$34&lt;BF$4)*(BF$4-$P$5:$P$34)+1)*$F$5:$F$34)*(Settings!$C$14="Lara")+SUMPRODUCT(($R$5:$R$34&gt;0)*(($T$5:$T$34-($T$5:$T$34&gt;BF$4+4)*($T$5:$T$34-BF$4-4)-$S$5:$S$34-($S$5:$S$34&lt;BF$4)*(BF$4-$S$5:$S$34)+1)&gt;0)*($T$5:$T$34-($T$5:$T$34&gt;BF$4+4)*($T$5:$T$34-BF$4-4)-$S$5:$S$34-($S$5:$S$34&lt;BF$4)*(BF$4-$S$5:$S$34)+1)*$F$5:$F$34)*(Settings!$C$15="Lara")+SUMPRODUCT(($U$5:$U$34&gt;0)*(($W$5:$W$34-($W$5:$W$34&gt;BF$4+4)*($W$5:$W$34-BF$4-4)-$V$5:$V$34-($V$5:$V$34&lt;BF$4)*(BF$4-$V$5:$V$34)+1)&gt;0)*($W$5:$W$34-($W$5:$W$34&gt;BF$4+4)*($W$5:$W$34-BF$4-4)-$V$5:$V$34-($V$5:$V$34&lt;BF$4)*(BF$4-$V$5:$V$34)+1)*$F$5:$F$34)*(Settings!$C$16="Lara")+SUMPRODUCT(($X$5:$X$34&gt;0)*(($Z$5:$Z$34-($Z$5:$Z$34&gt;BF$4+4)*($Z$5:$Z$34-BF$4-4)-$Y$5:$Y$34-($Y$5:$Y$34&lt;BF$4)*(BF$4-$Y$5:$Y$34)+1)&gt;0)*($Z$5:$Z$34-($Z$5:$Z$34&gt;BF$4+4)*($Z$5:$Z$34-BF$4-4)-$Y$5:$Y$34-($Y$5:$Y$34&lt;BF$4)*(BF$4-$Y$5:$Y$34)+1)*$F$5:$F$34)*(Settings!$C$17="Lara")+SUMPRODUCT(($AA$5:$AA$34&gt;0)*(($AC$5:$AC$34-($AC$5:$AC$34&gt;BF$4+4)*($AC$5:$AC$34-BF$4-4)-$AB$5:$AB$34-($AB$5:$AB$34&lt;BF$4)*(BF$4-$AB$5:$AB$34)+1)&gt;0)*($AC$5:$AC$34-($AC$5:$AC$34&gt;BF$4+4)*($AC$5:$AC$34-BF$4-4)-$AB$5:$AB$34-($AB$5:$AB$34&lt;BF$4)*(BF$4-$AB$5:$AB$34)+1)*$F$5:$F$34)*(Settings!$C$18="Lara")+SUMPRODUCT(($AD$5:$AD$34&gt;0)*(($AF$5:$AF$34-($AF$5:$AF$34&gt;BF$4+4)*($AF$5:$AF$34-BF$4-4)-$AE$5:$AE$34-($AE$5:$AE$34&lt;BF$4)*(BF$4-$AE$5:$AE$34)+1)&gt;0)*($AF$5:$AF$34-($AF$5:$AF$34&gt;BF$4+4)*($AF$5:$AF$34-BF$4-4)-$AE$5:$AE$34-($AE$5:$AE$34&lt;BF$4)*(BF$4-$AE$5:$AE$34)+1)*$F$5:$F$34)*(Settings!$C$19="Lara"))/Settings!$C$5</f>
        <v/>
      </c>
      <c r="BG35" s="28">
        <f>(SUMPRODUCT(($I$5:$I$34&gt;0)*(($K$5:$K$34-($K$5:$K$34&gt;BG$4+4)*($K$5:$K$34-BG$4-4)-$J$5:$J$34-($J$5:$J$34&lt;BG$4)*(BG$4-$J$5:$J$34)+1)&gt;0)*($K$5:$K$34-($K$5:$K$34&gt;BG$4+4)*($K$5:$K$34-BG$4-4)-$J$5:$J$34-($J$5:$J$34&lt;BG$4)*(BG$4-$J$5:$J$34)+1)*$F$5:$F$34)*(Settings!$C$12="Lara")+SUMPRODUCT(($L$5:$L$34&gt;0)*(($N$5:$N$34-($N$5:$N$34&gt;BG$4+4)*($N$5:$N$34-BG$4-4)-$M$5:$M$34-($M$5:$M$34&lt;BG$4)*(BG$4-$M$5:$M$34)+1)&gt;0)*($N$5:$N$34-($N$5:$N$34&gt;BG$4+4)*($N$5:$N$34-BG$4-4)-$M$5:$M$34-($M$5:$M$34&lt;BG$4)*(BG$4-$M$5:$M$34)+1)*$F$5:$F$34)*(Settings!$C$13="Lara")+SUMPRODUCT(($O$5:$O$34&gt;0)*(($Q$5:$Q$34-($Q$5:$Q$34&gt;BG$4+4)*($Q$5:$Q$34-BG$4-4)-$P$5:$P$34-($P$5:$P$34&lt;BG$4)*(BG$4-$P$5:$P$34)+1)&gt;0)*($Q$5:$Q$34-($Q$5:$Q$34&gt;BG$4+4)*($Q$5:$Q$34-BG$4-4)-$P$5:$P$34-($P$5:$P$34&lt;BG$4)*(BG$4-$P$5:$P$34)+1)*$F$5:$F$34)*(Settings!$C$14="Lara")+SUMPRODUCT(($R$5:$R$34&gt;0)*(($T$5:$T$34-($T$5:$T$34&gt;BG$4+4)*($T$5:$T$34-BG$4-4)-$S$5:$S$34-($S$5:$S$34&lt;BG$4)*(BG$4-$S$5:$S$34)+1)&gt;0)*($T$5:$T$34-($T$5:$T$34&gt;BG$4+4)*($T$5:$T$34-BG$4-4)-$S$5:$S$34-($S$5:$S$34&lt;BG$4)*(BG$4-$S$5:$S$34)+1)*$F$5:$F$34)*(Settings!$C$15="Lara")+SUMPRODUCT(($U$5:$U$34&gt;0)*(($W$5:$W$34-($W$5:$W$34&gt;BG$4+4)*($W$5:$W$34-BG$4-4)-$V$5:$V$34-($V$5:$V$34&lt;BG$4)*(BG$4-$V$5:$V$34)+1)&gt;0)*($W$5:$W$34-($W$5:$W$34&gt;BG$4+4)*($W$5:$W$34-BG$4-4)-$V$5:$V$34-($V$5:$V$34&lt;BG$4)*(BG$4-$V$5:$V$34)+1)*$F$5:$F$34)*(Settings!$C$16="Lara")+SUMPRODUCT(($X$5:$X$34&gt;0)*(($Z$5:$Z$34-($Z$5:$Z$34&gt;BG$4+4)*($Z$5:$Z$34-BG$4-4)-$Y$5:$Y$34-($Y$5:$Y$34&lt;BG$4)*(BG$4-$Y$5:$Y$34)+1)&gt;0)*($Z$5:$Z$34-($Z$5:$Z$34&gt;BG$4+4)*($Z$5:$Z$34-BG$4-4)-$Y$5:$Y$34-($Y$5:$Y$34&lt;BG$4)*(BG$4-$Y$5:$Y$34)+1)*$F$5:$F$34)*(Settings!$C$17="Lara")+SUMPRODUCT(($AA$5:$AA$34&gt;0)*(($AC$5:$AC$34-($AC$5:$AC$34&gt;BG$4+4)*($AC$5:$AC$34-BG$4-4)-$AB$5:$AB$34-($AB$5:$AB$34&lt;BG$4)*(BG$4-$AB$5:$AB$34)+1)&gt;0)*($AC$5:$AC$34-($AC$5:$AC$34&gt;BG$4+4)*($AC$5:$AC$34-BG$4-4)-$AB$5:$AB$34-($AB$5:$AB$34&lt;BG$4)*(BG$4-$AB$5:$AB$34)+1)*$F$5:$F$34)*(Settings!$C$18="Lara")+SUMPRODUCT(($AD$5:$AD$34&gt;0)*(($AF$5:$AF$34-($AF$5:$AF$34&gt;BG$4+4)*($AF$5:$AF$34-BG$4-4)-$AE$5:$AE$34-($AE$5:$AE$34&lt;BG$4)*(BG$4-$AE$5:$AE$34)+1)&gt;0)*($AF$5:$AF$34-($AF$5:$AF$34&gt;BG$4+4)*($AF$5:$AF$34-BG$4-4)-$AE$5:$AE$34-($AE$5:$AE$34&lt;BG$4)*(BG$4-$AE$5:$AE$34)+1)*$F$5:$F$34)*(Settings!$C$19="Lara"))/Settings!$C$5</f>
        <v/>
      </c>
      <c r="BH35" s="28">
        <f>(SUMPRODUCT(($I$5:$I$34&gt;0)*(($K$5:$K$34-($K$5:$K$34&gt;BH$4+4)*($K$5:$K$34-BH$4-4)-$J$5:$J$34-($J$5:$J$34&lt;BH$4)*(BH$4-$J$5:$J$34)+1)&gt;0)*($K$5:$K$34-($K$5:$K$34&gt;BH$4+4)*($K$5:$K$34-BH$4-4)-$J$5:$J$34-($J$5:$J$34&lt;BH$4)*(BH$4-$J$5:$J$34)+1)*$F$5:$F$34)*(Settings!$C$12="Lara")+SUMPRODUCT(($L$5:$L$34&gt;0)*(($N$5:$N$34-($N$5:$N$34&gt;BH$4+4)*($N$5:$N$34-BH$4-4)-$M$5:$M$34-($M$5:$M$34&lt;BH$4)*(BH$4-$M$5:$M$34)+1)&gt;0)*($N$5:$N$34-($N$5:$N$34&gt;BH$4+4)*($N$5:$N$34-BH$4-4)-$M$5:$M$34-($M$5:$M$34&lt;BH$4)*(BH$4-$M$5:$M$34)+1)*$F$5:$F$34)*(Settings!$C$13="Lara")+SUMPRODUCT(($O$5:$O$34&gt;0)*(($Q$5:$Q$34-($Q$5:$Q$34&gt;BH$4+4)*($Q$5:$Q$34-BH$4-4)-$P$5:$P$34-($P$5:$P$34&lt;BH$4)*(BH$4-$P$5:$P$34)+1)&gt;0)*($Q$5:$Q$34-($Q$5:$Q$34&gt;BH$4+4)*($Q$5:$Q$34-BH$4-4)-$P$5:$P$34-($P$5:$P$34&lt;BH$4)*(BH$4-$P$5:$P$34)+1)*$F$5:$F$34)*(Settings!$C$14="Lara")+SUMPRODUCT(($R$5:$R$34&gt;0)*(($T$5:$T$34-($T$5:$T$34&gt;BH$4+4)*($T$5:$T$34-BH$4-4)-$S$5:$S$34-($S$5:$S$34&lt;BH$4)*(BH$4-$S$5:$S$34)+1)&gt;0)*($T$5:$T$34-($T$5:$T$34&gt;BH$4+4)*($T$5:$T$34-BH$4-4)-$S$5:$S$34-($S$5:$S$34&lt;BH$4)*(BH$4-$S$5:$S$34)+1)*$F$5:$F$34)*(Settings!$C$15="Lara")+SUMPRODUCT(($U$5:$U$34&gt;0)*(($W$5:$W$34-($W$5:$W$34&gt;BH$4+4)*($W$5:$W$34-BH$4-4)-$V$5:$V$34-($V$5:$V$34&lt;BH$4)*(BH$4-$V$5:$V$34)+1)&gt;0)*($W$5:$W$34-($W$5:$W$34&gt;BH$4+4)*($W$5:$W$34-BH$4-4)-$V$5:$V$34-($V$5:$V$34&lt;BH$4)*(BH$4-$V$5:$V$34)+1)*$F$5:$F$34)*(Settings!$C$16="Lara")+SUMPRODUCT(($X$5:$X$34&gt;0)*(($Z$5:$Z$34-($Z$5:$Z$34&gt;BH$4+4)*($Z$5:$Z$34-BH$4-4)-$Y$5:$Y$34-($Y$5:$Y$34&lt;BH$4)*(BH$4-$Y$5:$Y$34)+1)&gt;0)*($Z$5:$Z$34-($Z$5:$Z$34&gt;BH$4+4)*($Z$5:$Z$34-BH$4-4)-$Y$5:$Y$34-($Y$5:$Y$34&lt;BH$4)*(BH$4-$Y$5:$Y$34)+1)*$F$5:$F$34)*(Settings!$C$17="Lara")+SUMPRODUCT(($AA$5:$AA$34&gt;0)*(($AC$5:$AC$34-($AC$5:$AC$34&gt;BH$4+4)*($AC$5:$AC$34-BH$4-4)-$AB$5:$AB$34-($AB$5:$AB$34&lt;BH$4)*(BH$4-$AB$5:$AB$34)+1)&gt;0)*($AC$5:$AC$34-($AC$5:$AC$34&gt;BH$4+4)*($AC$5:$AC$34-BH$4-4)-$AB$5:$AB$34-($AB$5:$AB$34&lt;BH$4)*(BH$4-$AB$5:$AB$34)+1)*$F$5:$F$34)*(Settings!$C$18="Lara")+SUMPRODUCT(($AD$5:$AD$34&gt;0)*(($AF$5:$AF$34-($AF$5:$AF$34&gt;BH$4+4)*($AF$5:$AF$34-BH$4-4)-$AE$5:$AE$34-($AE$5:$AE$34&lt;BH$4)*(BH$4-$AE$5:$AE$34)+1)&gt;0)*($AF$5:$AF$34-($AF$5:$AF$34&gt;BH$4+4)*($AF$5:$AF$34-BH$4-4)-$AE$5:$AE$34-($AE$5:$AE$34&lt;BH$4)*(BH$4-$AE$5:$AE$34)+1)*$F$5:$F$34)*(Settings!$C$19="Lara"))/Settings!$C$5</f>
        <v/>
      </c>
      <c r="BI35" s="28">
        <f>(SUMPRODUCT(($I$5:$I$34&gt;0)*(($K$5:$K$34-($K$5:$K$34&gt;BI$4+4)*($K$5:$K$34-BI$4-4)-$J$5:$J$34-($J$5:$J$34&lt;BI$4)*(BI$4-$J$5:$J$34)+1)&gt;0)*($K$5:$K$34-($K$5:$K$34&gt;BI$4+4)*($K$5:$K$34-BI$4-4)-$J$5:$J$34-($J$5:$J$34&lt;BI$4)*(BI$4-$J$5:$J$34)+1)*$F$5:$F$34)*(Settings!$C$12="Lara")+SUMPRODUCT(($L$5:$L$34&gt;0)*(($N$5:$N$34-($N$5:$N$34&gt;BI$4+4)*($N$5:$N$34-BI$4-4)-$M$5:$M$34-($M$5:$M$34&lt;BI$4)*(BI$4-$M$5:$M$34)+1)&gt;0)*($N$5:$N$34-($N$5:$N$34&gt;BI$4+4)*($N$5:$N$34-BI$4-4)-$M$5:$M$34-($M$5:$M$34&lt;BI$4)*(BI$4-$M$5:$M$34)+1)*$F$5:$F$34)*(Settings!$C$13="Lara")+SUMPRODUCT(($O$5:$O$34&gt;0)*(($Q$5:$Q$34-($Q$5:$Q$34&gt;BI$4+4)*($Q$5:$Q$34-BI$4-4)-$P$5:$P$34-($P$5:$P$34&lt;BI$4)*(BI$4-$P$5:$P$34)+1)&gt;0)*($Q$5:$Q$34-($Q$5:$Q$34&gt;BI$4+4)*($Q$5:$Q$34-BI$4-4)-$P$5:$P$34-($P$5:$P$34&lt;BI$4)*(BI$4-$P$5:$P$34)+1)*$F$5:$F$34)*(Settings!$C$14="Lara")+SUMPRODUCT(($R$5:$R$34&gt;0)*(($T$5:$T$34-($T$5:$T$34&gt;BI$4+4)*($T$5:$T$34-BI$4-4)-$S$5:$S$34-($S$5:$S$34&lt;BI$4)*(BI$4-$S$5:$S$34)+1)&gt;0)*($T$5:$T$34-($T$5:$T$34&gt;BI$4+4)*($T$5:$T$34-BI$4-4)-$S$5:$S$34-($S$5:$S$34&lt;BI$4)*(BI$4-$S$5:$S$34)+1)*$F$5:$F$34)*(Settings!$C$15="Lara")+SUMPRODUCT(($U$5:$U$34&gt;0)*(($W$5:$W$34-($W$5:$W$34&gt;BI$4+4)*($W$5:$W$34-BI$4-4)-$V$5:$V$34-($V$5:$V$34&lt;BI$4)*(BI$4-$V$5:$V$34)+1)&gt;0)*($W$5:$W$34-($W$5:$W$34&gt;BI$4+4)*($W$5:$W$34-BI$4-4)-$V$5:$V$34-($V$5:$V$34&lt;BI$4)*(BI$4-$V$5:$V$34)+1)*$F$5:$F$34)*(Settings!$C$16="Lara")+SUMPRODUCT(($X$5:$X$34&gt;0)*(($Z$5:$Z$34-($Z$5:$Z$34&gt;BI$4+4)*($Z$5:$Z$34-BI$4-4)-$Y$5:$Y$34-($Y$5:$Y$34&lt;BI$4)*(BI$4-$Y$5:$Y$34)+1)&gt;0)*($Z$5:$Z$34-($Z$5:$Z$34&gt;BI$4+4)*($Z$5:$Z$34-BI$4-4)-$Y$5:$Y$34-($Y$5:$Y$34&lt;BI$4)*(BI$4-$Y$5:$Y$34)+1)*$F$5:$F$34)*(Settings!$C$17="Lara")+SUMPRODUCT(($AA$5:$AA$34&gt;0)*(($AC$5:$AC$34-($AC$5:$AC$34&gt;BI$4+4)*($AC$5:$AC$34-BI$4-4)-$AB$5:$AB$34-($AB$5:$AB$34&lt;BI$4)*(BI$4-$AB$5:$AB$34)+1)&gt;0)*($AC$5:$AC$34-($AC$5:$AC$34&gt;BI$4+4)*($AC$5:$AC$34-BI$4-4)-$AB$5:$AB$34-($AB$5:$AB$34&lt;BI$4)*(BI$4-$AB$5:$AB$34)+1)*$F$5:$F$34)*(Settings!$C$18="Lara")+SUMPRODUCT(($AD$5:$AD$34&gt;0)*(($AF$5:$AF$34-($AF$5:$AF$34&gt;BI$4+4)*($AF$5:$AF$34-BI$4-4)-$AE$5:$AE$34-($AE$5:$AE$34&lt;BI$4)*(BI$4-$AE$5:$AE$34)+1)&gt;0)*($AF$5:$AF$34-($AF$5:$AF$34&gt;BI$4+4)*($AF$5:$AF$34-BI$4-4)-$AE$5:$AE$34-($AE$5:$AE$34&lt;BI$4)*(BI$4-$AE$5:$AE$34)+1)*$F$5:$F$34)*(Settings!$C$19="Lara"))/Settings!$C$5</f>
        <v/>
      </c>
      <c r="BJ35" s="28">
        <f>(SUMPRODUCT(($I$5:$I$34&gt;0)*(($K$5:$K$34-($K$5:$K$34&gt;BJ$4+4)*($K$5:$K$34-BJ$4-4)-$J$5:$J$34-($J$5:$J$34&lt;BJ$4)*(BJ$4-$J$5:$J$34)+1)&gt;0)*($K$5:$K$34-($K$5:$K$34&gt;BJ$4+4)*($K$5:$K$34-BJ$4-4)-$J$5:$J$34-($J$5:$J$34&lt;BJ$4)*(BJ$4-$J$5:$J$34)+1)*$F$5:$F$34)*(Settings!$C$12="Lara")+SUMPRODUCT(($L$5:$L$34&gt;0)*(($N$5:$N$34-($N$5:$N$34&gt;BJ$4+4)*($N$5:$N$34-BJ$4-4)-$M$5:$M$34-($M$5:$M$34&lt;BJ$4)*(BJ$4-$M$5:$M$34)+1)&gt;0)*($N$5:$N$34-($N$5:$N$34&gt;BJ$4+4)*($N$5:$N$34-BJ$4-4)-$M$5:$M$34-($M$5:$M$34&lt;BJ$4)*(BJ$4-$M$5:$M$34)+1)*$F$5:$F$34)*(Settings!$C$13="Lara")+SUMPRODUCT(($O$5:$O$34&gt;0)*(($Q$5:$Q$34-($Q$5:$Q$34&gt;BJ$4+4)*($Q$5:$Q$34-BJ$4-4)-$P$5:$P$34-($P$5:$P$34&lt;BJ$4)*(BJ$4-$P$5:$P$34)+1)&gt;0)*($Q$5:$Q$34-($Q$5:$Q$34&gt;BJ$4+4)*($Q$5:$Q$34-BJ$4-4)-$P$5:$P$34-($P$5:$P$34&lt;BJ$4)*(BJ$4-$P$5:$P$34)+1)*$F$5:$F$34)*(Settings!$C$14="Lara")+SUMPRODUCT(($R$5:$R$34&gt;0)*(($T$5:$T$34-($T$5:$T$34&gt;BJ$4+4)*($T$5:$T$34-BJ$4-4)-$S$5:$S$34-($S$5:$S$34&lt;BJ$4)*(BJ$4-$S$5:$S$34)+1)&gt;0)*($T$5:$T$34-($T$5:$T$34&gt;BJ$4+4)*($T$5:$T$34-BJ$4-4)-$S$5:$S$34-($S$5:$S$34&lt;BJ$4)*(BJ$4-$S$5:$S$34)+1)*$F$5:$F$34)*(Settings!$C$15="Lara")+SUMPRODUCT(($U$5:$U$34&gt;0)*(($W$5:$W$34-($W$5:$W$34&gt;BJ$4+4)*($W$5:$W$34-BJ$4-4)-$V$5:$V$34-($V$5:$V$34&lt;BJ$4)*(BJ$4-$V$5:$V$34)+1)&gt;0)*($W$5:$W$34-($W$5:$W$34&gt;BJ$4+4)*($W$5:$W$34-BJ$4-4)-$V$5:$V$34-($V$5:$V$34&lt;BJ$4)*(BJ$4-$V$5:$V$34)+1)*$F$5:$F$34)*(Settings!$C$16="Lara")+SUMPRODUCT(($X$5:$X$34&gt;0)*(($Z$5:$Z$34-($Z$5:$Z$34&gt;BJ$4+4)*($Z$5:$Z$34-BJ$4-4)-$Y$5:$Y$34-($Y$5:$Y$34&lt;BJ$4)*(BJ$4-$Y$5:$Y$34)+1)&gt;0)*($Z$5:$Z$34-($Z$5:$Z$34&gt;BJ$4+4)*($Z$5:$Z$34-BJ$4-4)-$Y$5:$Y$34-($Y$5:$Y$34&lt;BJ$4)*(BJ$4-$Y$5:$Y$34)+1)*$F$5:$F$34)*(Settings!$C$17="Lara")+SUMPRODUCT(($AA$5:$AA$34&gt;0)*(($AC$5:$AC$34-($AC$5:$AC$34&gt;BJ$4+4)*($AC$5:$AC$34-BJ$4-4)-$AB$5:$AB$34-($AB$5:$AB$34&lt;BJ$4)*(BJ$4-$AB$5:$AB$34)+1)&gt;0)*($AC$5:$AC$34-($AC$5:$AC$34&gt;BJ$4+4)*($AC$5:$AC$34-BJ$4-4)-$AB$5:$AB$34-($AB$5:$AB$34&lt;BJ$4)*(BJ$4-$AB$5:$AB$34)+1)*$F$5:$F$34)*(Settings!$C$18="Lara")+SUMPRODUCT(($AD$5:$AD$34&gt;0)*(($AF$5:$AF$34-($AF$5:$AF$34&gt;BJ$4+4)*($AF$5:$AF$34-BJ$4-4)-$AE$5:$AE$34-($AE$5:$AE$34&lt;BJ$4)*(BJ$4-$AE$5:$AE$34)+1)&gt;0)*($AF$5:$AF$34-($AF$5:$AF$34&gt;BJ$4+4)*($AF$5:$AF$34-BJ$4-4)-$AE$5:$AE$34-($AE$5:$AE$34&lt;BJ$4)*(BJ$4-$AE$5:$AE$34)+1)*$F$5:$F$34)*(Settings!$C$19="Lara"))/Settings!$C$5</f>
        <v/>
      </c>
      <c r="BK35" s="28">
        <f>(SUMPRODUCT(($I$5:$I$34&gt;0)*(($K$5:$K$34-($K$5:$K$34&gt;BK$4+4)*($K$5:$K$34-BK$4-4)-$J$5:$J$34-($J$5:$J$34&lt;BK$4)*(BK$4-$J$5:$J$34)+1)&gt;0)*($K$5:$K$34-($K$5:$K$34&gt;BK$4+4)*($K$5:$K$34-BK$4-4)-$J$5:$J$34-($J$5:$J$34&lt;BK$4)*(BK$4-$J$5:$J$34)+1)*$F$5:$F$34)*(Settings!$C$12="Lara")+SUMPRODUCT(($L$5:$L$34&gt;0)*(($N$5:$N$34-($N$5:$N$34&gt;BK$4+4)*($N$5:$N$34-BK$4-4)-$M$5:$M$34-($M$5:$M$34&lt;BK$4)*(BK$4-$M$5:$M$34)+1)&gt;0)*($N$5:$N$34-($N$5:$N$34&gt;BK$4+4)*($N$5:$N$34-BK$4-4)-$M$5:$M$34-($M$5:$M$34&lt;BK$4)*(BK$4-$M$5:$M$34)+1)*$F$5:$F$34)*(Settings!$C$13="Lara")+SUMPRODUCT(($O$5:$O$34&gt;0)*(($Q$5:$Q$34-($Q$5:$Q$34&gt;BK$4+4)*($Q$5:$Q$34-BK$4-4)-$P$5:$P$34-($P$5:$P$34&lt;BK$4)*(BK$4-$P$5:$P$34)+1)&gt;0)*($Q$5:$Q$34-($Q$5:$Q$34&gt;BK$4+4)*($Q$5:$Q$34-BK$4-4)-$P$5:$P$34-($P$5:$P$34&lt;BK$4)*(BK$4-$P$5:$P$34)+1)*$F$5:$F$34)*(Settings!$C$14="Lara")+SUMPRODUCT(($R$5:$R$34&gt;0)*(($T$5:$T$34-($T$5:$T$34&gt;BK$4+4)*($T$5:$T$34-BK$4-4)-$S$5:$S$34-($S$5:$S$34&lt;BK$4)*(BK$4-$S$5:$S$34)+1)&gt;0)*($T$5:$T$34-($T$5:$T$34&gt;BK$4+4)*($T$5:$T$34-BK$4-4)-$S$5:$S$34-($S$5:$S$34&lt;BK$4)*(BK$4-$S$5:$S$34)+1)*$F$5:$F$34)*(Settings!$C$15="Lara")+SUMPRODUCT(($U$5:$U$34&gt;0)*(($W$5:$W$34-($W$5:$W$34&gt;BK$4+4)*($W$5:$W$34-BK$4-4)-$V$5:$V$34-($V$5:$V$34&lt;BK$4)*(BK$4-$V$5:$V$34)+1)&gt;0)*($W$5:$W$34-($W$5:$W$34&gt;BK$4+4)*($W$5:$W$34-BK$4-4)-$V$5:$V$34-($V$5:$V$34&lt;BK$4)*(BK$4-$V$5:$V$34)+1)*$F$5:$F$34)*(Settings!$C$16="Lara")+SUMPRODUCT(($X$5:$X$34&gt;0)*(($Z$5:$Z$34-($Z$5:$Z$34&gt;BK$4+4)*($Z$5:$Z$34-BK$4-4)-$Y$5:$Y$34-($Y$5:$Y$34&lt;BK$4)*(BK$4-$Y$5:$Y$34)+1)&gt;0)*($Z$5:$Z$34-($Z$5:$Z$34&gt;BK$4+4)*($Z$5:$Z$34-BK$4-4)-$Y$5:$Y$34-($Y$5:$Y$34&lt;BK$4)*(BK$4-$Y$5:$Y$34)+1)*$F$5:$F$34)*(Settings!$C$17="Lara")+SUMPRODUCT(($AA$5:$AA$34&gt;0)*(($AC$5:$AC$34-($AC$5:$AC$34&gt;BK$4+4)*($AC$5:$AC$34-BK$4-4)-$AB$5:$AB$34-($AB$5:$AB$34&lt;BK$4)*(BK$4-$AB$5:$AB$34)+1)&gt;0)*($AC$5:$AC$34-($AC$5:$AC$34&gt;BK$4+4)*($AC$5:$AC$34-BK$4-4)-$AB$5:$AB$34-($AB$5:$AB$34&lt;BK$4)*(BK$4-$AB$5:$AB$34)+1)*$F$5:$F$34)*(Settings!$C$18="Lara")+SUMPRODUCT(($AD$5:$AD$34&gt;0)*(($AF$5:$AF$34-($AF$5:$AF$34&gt;BK$4+4)*($AF$5:$AF$34-BK$4-4)-$AE$5:$AE$34-($AE$5:$AE$34&lt;BK$4)*(BK$4-$AE$5:$AE$34)+1)&gt;0)*($AF$5:$AF$34-($AF$5:$AF$34&gt;BK$4+4)*($AF$5:$AF$34-BK$4-4)-$AE$5:$AE$34-($AE$5:$AE$34&lt;BK$4)*(BK$4-$AE$5:$AE$34)+1)*$F$5:$F$34)*(Settings!$C$19="Lara"))/Settings!$C$5</f>
        <v/>
      </c>
      <c r="BL35" s="28">
        <f>(SUMPRODUCT(($I$5:$I$34&gt;0)*(($K$5:$K$34-($K$5:$K$34&gt;BL$4+4)*($K$5:$K$34-BL$4-4)-$J$5:$J$34-($J$5:$J$34&lt;BL$4)*(BL$4-$J$5:$J$34)+1)&gt;0)*($K$5:$K$34-($K$5:$K$34&gt;BL$4+4)*($K$5:$K$34-BL$4-4)-$J$5:$J$34-($J$5:$J$34&lt;BL$4)*(BL$4-$J$5:$J$34)+1)*$F$5:$F$34)*(Settings!$C$12="Lara")+SUMPRODUCT(($L$5:$L$34&gt;0)*(($N$5:$N$34-($N$5:$N$34&gt;BL$4+4)*($N$5:$N$34-BL$4-4)-$M$5:$M$34-($M$5:$M$34&lt;BL$4)*(BL$4-$M$5:$M$34)+1)&gt;0)*($N$5:$N$34-($N$5:$N$34&gt;BL$4+4)*($N$5:$N$34-BL$4-4)-$M$5:$M$34-($M$5:$M$34&lt;BL$4)*(BL$4-$M$5:$M$34)+1)*$F$5:$F$34)*(Settings!$C$13="Lara")+SUMPRODUCT(($O$5:$O$34&gt;0)*(($Q$5:$Q$34-($Q$5:$Q$34&gt;BL$4+4)*($Q$5:$Q$34-BL$4-4)-$P$5:$P$34-($P$5:$P$34&lt;BL$4)*(BL$4-$P$5:$P$34)+1)&gt;0)*($Q$5:$Q$34-($Q$5:$Q$34&gt;BL$4+4)*($Q$5:$Q$34-BL$4-4)-$P$5:$P$34-($P$5:$P$34&lt;BL$4)*(BL$4-$P$5:$P$34)+1)*$F$5:$F$34)*(Settings!$C$14="Lara")+SUMPRODUCT(($R$5:$R$34&gt;0)*(($T$5:$T$34-($T$5:$T$34&gt;BL$4+4)*($T$5:$T$34-BL$4-4)-$S$5:$S$34-($S$5:$S$34&lt;BL$4)*(BL$4-$S$5:$S$34)+1)&gt;0)*($T$5:$T$34-($T$5:$T$34&gt;BL$4+4)*($T$5:$T$34-BL$4-4)-$S$5:$S$34-($S$5:$S$34&lt;BL$4)*(BL$4-$S$5:$S$34)+1)*$F$5:$F$34)*(Settings!$C$15="Lara")+SUMPRODUCT(($U$5:$U$34&gt;0)*(($W$5:$W$34-($W$5:$W$34&gt;BL$4+4)*($W$5:$W$34-BL$4-4)-$V$5:$V$34-($V$5:$V$34&lt;BL$4)*(BL$4-$V$5:$V$34)+1)&gt;0)*($W$5:$W$34-($W$5:$W$34&gt;BL$4+4)*($W$5:$W$34-BL$4-4)-$V$5:$V$34-($V$5:$V$34&lt;BL$4)*(BL$4-$V$5:$V$34)+1)*$F$5:$F$34)*(Settings!$C$16="Lara")+SUMPRODUCT(($X$5:$X$34&gt;0)*(($Z$5:$Z$34-($Z$5:$Z$34&gt;BL$4+4)*($Z$5:$Z$34-BL$4-4)-$Y$5:$Y$34-($Y$5:$Y$34&lt;BL$4)*(BL$4-$Y$5:$Y$34)+1)&gt;0)*($Z$5:$Z$34-($Z$5:$Z$34&gt;BL$4+4)*($Z$5:$Z$34-BL$4-4)-$Y$5:$Y$34-($Y$5:$Y$34&lt;BL$4)*(BL$4-$Y$5:$Y$34)+1)*$F$5:$F$34)*(Settings!$C$17="Lara")+SUMPRODUCT(($AA$5:$AA$34&gt;0)*(($AC$5:$AC$34-($AC$5:$AC$34&gt;BL$4+4)*($AC$5:$AC$34-BL$4-4)-$AB$5:$AB$34-($AB$5:$AB$34&lt;BL$4)*(BL$4-$AB$5:$AB$34)+1)&gt;0)*($AC$5:$AC$34-($AC$5:$AC$34&gt;BL$4+4)*($AC$5:$AC$34-BL$4-4)-$AB$5:$AB$34-($AB$5:$AB$34&lt;BL$4)*(BL$4-$AB$5:$AB$34)+1)*$F$5:$F$34)*(Settings!$C$18="Lara")+SUMPRODUCT(($AD$5:$AD$34&gt;0)*(($AF$5:$AF$34-($AF$5:$AF$34&gt;BL$4+4)*($AF$5:$AF$34-BL$4-4)-$AE$5:$AE$34-($AE$5:$AE$34&lt;BL$4)*(BL$4-$AE$5:$AE$34)+1)&gt;0)*($AF$5:$AF$34-($AF$5:$AF$34&gt;BL$4+4)*($AF$5:$AF$34-BL$4-4)-$AE$5:$AE$34-($AE$5:$AE$34&lt;BL$4)*(BL$4-$AE$5:$AE$34)+1)*$F$5:$F$34)*(Settings!$C$19="Lara"))/Settings!$C$5</f>
        <v/>
      </c>
      <c r="BM35" s="28">
        <f>(SUMPRODUCT(($I$5:$I$34&gt;0)*(($K$5:$K$34-($K$5:$K$34&gt;BM$4+4)*($K$5:$K$34-BM$4-4)-$J$5:$J$34-($J$5:$J$34&lt;BM$4)*(BM$4-$J$5:$J$34)+1)&gt;0)*($K$5:$K$34-($K$5:$K$34&gt;BM$4+4)*($K$5:$K$34-BM$4-4)-$J$5:$J$34-($J$5:$J$34&lt;BM$4)*(BM$4-$J$5:$J$34)+1)*$F$5:$F$34)*(Settings!$C$12="Lara")+SUMPRODUCT(($L$5:$L$34&gt;0)*(($N$5:$N$34-($N$5:$N$34&gt;BM$4+4)*($N$5:$N$34-BM$4-4)-$M$5:$M$34-($M$5:$M$34&lt;BM$4)*(BM$4-$M$5:$M$34)+1)&gt;0)*($N$5:$N$34-($N$5:$N$34&gt;BM$4+4)*($N$5:$N$34-BM$4-4)-$M$5:$M$34-($M$5:$M$34&lt;BM$4)*(BM$4-$M$5:$M$34)+1)*$F$5:$F$34)*(Settings!$C$13="Lara")+SUMPRODUCT(($O$5:$O$34&gt;0)*(($Q$5:$Q$34-($Q$5:$Q$34&gt;BM$4+4)*($Q$5:$Q$34-BM$4-4)-$P$5:$P$34-($P$5:$P$34&lt;BM$4)*(BM$4-$P$5:$P$34)+1)&gt;0)*($Q$5:$Q$34-($Q$5:$Q$34&gt;BM$4+4)*($Q$5:$Q$34-BM$4-4)-$P$5:$P$34-($P$5:$P$34&lt;BM$4)*(BM$4-$P$5:$P$34)+1)*$F$5:$F$34)*(Settings!$C$14="Lara")+SUMPRODUCT(($R$5:$R$34&gt;0)*(($T$5:$T$34-($T$5:$T$34&gt;BM$4+4)*($T$5:$T$34-BM$4-4)-$S$5:$S$34-($S$5:$S$34&lt;BM$4)*(BM$4-$S$5:$S$34)+1)&gt;0)*($T$5:$T$34-($T$5:$T$34&gt;BM$4+4)*($T$5:$T$34-BM$4-4)-$S$5:$S$34-($S$5:$S$34&lt;BM$4)*(BM$4-$S$5:$S$34)+1)*$F$5:$F$34)*(Settings!$C$15="Lara")+SUMPRODUCT(($U$5:$U$34&gt;0)*(($W$5:$W$34-($W$5:$W$34&gt;BM$4+4)*($W$5:$W$34-BM$4-4)-$V$5:$V$34-($V$5:$V$34&lt;BM$4)*(BM$4-$V$5:$V$34)+1)&gt;0)*($W$5:$W$34-($W$5:$W$34&gt;BM$4+4)*($W$5:$W$34-BM$4-4)-$V$5:$V$34-($V$5:$V$34&lt;BM$4)*(BM$4-$V$5:$V$34)+1)*$F$5:$F$34)*(Settings!$C$16="Lara")+SUMPRODUCT(($X$5:$X$34&gt;0)*(($Z$5:$Z$34-($Z$5:$Z$34&gt;BM$4+4)*($Z$5:$Z$34-BM$4-4)-$Y$5:$Y$34-($Y$5:$Y$34&lt;BM$4)*(BM$4-$Y$5:$Y$34)+1)&gt;0)*($Z$5:$Z$34-($Z$5:$Z$34&gt;BM$4+4)*($Z$5:$Z$34-BM$4-4)-$Y$5:$Y$34-($Y$5:$Y$34&lt;BM$4)*(BM$4-$Y$5:$Y$34)+1)*$F$5:$F$34)*(Settings!$C$17="Lara")+SUMPRODUCT(($AA$5:$AA$34&gt;0)*(($AC$5:$AC$34-($AC$5:$AC$34&gt;BM$4+4)*($AC$5:$AC$34-BM$4-4)-$AB$5:$AB$34-($AB$5:$AB$34&lt;BM$4)*(BM$4-$AB$5:$AB$34)+1)&gt;0)*($AC$5:$AC$34-($AC$5:$AC$34&gt;BM$4+4)*($AC$5:$AC$34-BM$4-4)-$AB$5:$AB$34-($AB$5:$AB$34&lt;BM$4)*(BM$4-$AB$5:$AB$34)+1)*$F$5:$F$34)*(Settings!$C$18="Lara")+SUMPRODUCT(($AD$5:$AD$34&gt;0)*(($AF$5:$AF$34-($AF$5:$AF$34&gt;BM$4+4)*($AF$5:$AF$34-BM$4-4)-$AE$5:$AE$34-($AE$5:$AE$34&lt;BM$4)*(BM$4-$AE$5:$AE$34)+1)&gt;0)*($AF$5:$AF$34-($AF$5:$AF$34&gt;BM$4+4)*($AF$5:$AF$34-BM$4-4)-$AE$5:$AE$34-($AE$5:$AE$34&lt;BM$4)*(BM$4-$AE$5:$AE$34)+1)*$F$5:$F$34)*(Settings!$C$19="Lara"))/Settings!$C$5</f>
        <v/>
      </c>
      <c r="BN35" s="28">
        <f>(SUMPRODUCT(($I$5:$I$34&gt;0)*(($K$5:$K$34-($K$5:$K$34&gt;BN$4+4)*($K$5:$K$34-BN$4-4)-$J$5:$J$34-($J$5:$J$34&lt;BN$4)*(BN$4-$J$5:$J$34)+1)&gt;0)*($K$5:$K$34-($K$5:$K$34&gt;BN$4+4)*($K$5:$K$34-BN$4-4)-$J$5:$J$34-($J$5:$J$34&lt;BN$4)*(BN$4-$J$5:$J$34)+1)*$F$5:$F$34)*(Settings!$C$12="Lara")+SUMPRODUCT(($L$5:$L$34&gt;0)*(($N$5:$N$34-($N$5:$N$34&gt;BN$4+4)*($N$5:$N$34-BN$4-4)-$M$5:$M$34-($M$5:$M$34&lt;BN$4)*(BN$4-$M$5:$M$34)+1)&gt;0)*($N$5:$N$34-($N$5:$N$34&gt;BN$4+4)*($N$5:$N$34-BN$4-4)-$M$5:$M$34-($M$5:$M$34&lt;BN$4)*(BN$4-$M$5:$M$34)+1)*$F$5:$F$34)*(Settings!$C$13="Lara")+SUMPRODUCT(($O$5:$O$34&gt;0)*(($Q$5:$Q$34-($Q$5:$Q$34&gt;BN$4+4)*($Q$5:$Q$34-BN$4-4)-$P$5:$P$34-($P$5:$P$34&lt;BN$4)*(BN$4-$P$5:$P$34)+1)&gt;0)*($Q$5:$Q$34-($Q$5:$Q$34&gt;BN$4+4)*($Q$5:$Q$34-BN$4-4)-$P$5:$P$34-($P$5:$P$34&lt;BN$4)*(BN$4-$P$5:$P$34)+1)*$F$5:$F$34)*(Settings!$C$14="Lara")+SUMPRODUCT(($R$5:$R$34&gt;0)*(($T$5:$T$34-($T$5:$T$34&gt;BN$4+4)*($T$5:$T$34-BN$4-4)-$S$5:$S$34-($S$5:$S$34&lt;BN$4)*(BN$4-$S$5:$S$34)+1)&gt;0)*($T$5:$T$34-($T$5:$T$34&gt;BN$4+4)*($T$5:$T$34-BN$4-4)-$S$5:$S$34-($S$5:$S$34&lt;BN$4)*(BN$4-$S$5:$S$34)+1)*$F$5:$F$34)*(Settings!$C$15="Lara")+SUMPRODUCT(($U$5:$U$34&gt;0)*(($W$5:$W$34-($W$5:$W$34&gt;BN$4+4)*($W$5:$W$34-BN$4-4)-$V$5:$V$34-($V$5:$V$34&lt;BN$4)*(BN$4-$V$5:$V$34)+1)&gt;0)*($W$5:$W$34-($W$5:$W$34&gt;BN$4+4)*($W$5:$W$34-BN$4-4)-$V$5:$V$34-($V$5:$V$34&lt;BN$4)*(BN$4-$V$5:$V$34)+1)*$F$5:$F$34)*(Settings!$C$16="Lara")+SUMPRODUCT(($X$5:$X$34&gt;0)*(($Z$5:$Z$34-($Z$5:$Z$34&gt;BN$4+4)*($Z$5:$Z$34-BN$4-4)-$Y$5:$Y$34-($Y$5:$Y$34&lt;BN$4)*(BN$4-$Y$5:$Y$34)+1)&gt;0)*($Z$5:$Z$34-($Z$5:$Z$34&gt;BN$4+4)*($Z$5:$Z$34-BN$4-4)-$Y$5:$Y$34-($Y$5:$Y$34&lt;BN$4)*(BN$4-$Y$5:$Y$34)+1)*$F$5:$F$34)*(Settings!$C$17="Lara")+SUMPRODUCT(($AA$5:$AA$34&gt;0)*(($AC$5:$AC$34-($AC$5:$AC$34&gt;BN$4+4)*($AC$5:$AC$34-BN$4-4)-$AB$5:$AB$34-($AB$5:$AB$34&lt;BN$4)*(BN$4-$AB$5:$AB$34)+1)&gt;0)*($AC$5:$AC$34-($AC$5:$AC$34&gt;BN$4+4)*($AC$5:$AC$34-BN$4-4)-$AB$5:$AB$34-($AB$5:$AB$34&lt;BN$4)*(BN$4-$AB$5:$AB$34)+1)*$F$5:$F$34)*(Settings!$C$18="Lara")+SUMPRODUCT(($AD$5:$AD$34&gt;0)*(($AF$5:$AF$34-($AF$5:$AF$34&gt;BN$4+4)*($AF$5:$AF$34-BN$4-4)-$AE$5:$AE$34-($AE$5:$AE$34&lt;BN$4)*(BN$4-$AE$5:$AE$34)+1)&gt;0)*($AF$5:$AF$34-($AF$5:$AF$34&gt;BN$4+4)*($AF$5:$AF$34-BN$4-4)-$AE$5:$AE$34-($AE$5:$AE$34&lt;BN$4)*(BN$4-$AE$5:$AE$34)+1)*$F$5:$F$34)*(Settings!$C$19="Lara"))/Settings!$C$5</f>
        <v/>
      </c>
      <c r="BO35" s="28">
        <f>(SUMPRODUCT(($I$5:$I$34&gt;0)*(($K$5:$K$34-($K$5:$K$34&gt;BO$4+4)*($K$5:$K$34-BO$4-4)-$J$5:$J$34-($J$5:$J$34&lt;BO$4)*(BO$4-$J$5:$J$34)+1)&gt;0)*($K$5:$K$34-($K$5:$K$34&gt;BO$4+4)*($K$5:$K$34-BO$4-4)-$J$5:$J$34-($J$5:$J$34&lt;BO$4)*(BO$4-$J$5:$J$34)+1)*$F$5:$F$34)*(Settings!$C$12="Lara")+SUMPRODUCT(($L$5:$L$34&gt;0)*(($N$5:$N$34-($N$5:$N$34&gt;BO$4+4)*($N$5:$N$34-BO$4-4)-$M$5:$M$34-($M$5:$M$34&lt;BO$4)*(BO$4-$M$5:$M$34)+1)&gt;0)*($N$5:$N$34-($N$5:$N$34&gt;BO$4+4)*($N$5:$N$34-BO$4-4)-$M$5:$M$34-($M$5:$M$34&lt;BO$4)*(BO$4-$M$5:$M$34)+1)*$F$5:$F$34)*(Settings!$C$13="Lara")+SUMPRODUCT(($O$5:$O$34&gt;0)*(($Q$5:$Q$34-($Q$5:$Q$34&gt;BO$4+4)*($Q$5:$Q$34-BO$4-4)-$P$5:$P$34-($P$5:$P$34&lt;BO$4)*(BO$4-$P$5:$P$34)+1)&gt;0)*($Q$5:$Q$34-($Q$5:$Q$34&gt;BO$4+4)*($Q$5:$Q$34-BO$4-4)-$P$5:$P$34-($P$5:$P$34&lt;BO$4)*(BO$4-$P$5:$P$34)+1)*$F$5:$F$34)*(Settings!$C$14="Lara")+SUMPRODUCT(($R$5:$R$34&gt;0)*(($T$5:$T$34-($T$5:$T$34&gt;BO$4+4)*($T$5:$T$34-BO$4-4)-$S$5:$S$34-($S$5:$S$34&lt;BO$4)*(BO$4-$S$5:$S$34)+1)&gt;0)*($T$5:$T$34-($T$5:$T$34&gt;BO$4+4)*($T$5:$T$34-BO$4-4)-$S$5:$S$34-($S$5:$S$34&lt;BO$4)*(BO$4-$S$5:$S$34)+1)*$F$5:$F$34)*(Settings!$C$15="Lara")+SUMPRODUCT(($U$5:$U$34&gt;0)*(($W$5:$W$34-($W$5:$W$34&gt;BO$4+4)*($W$5:$W$34-BO$4-4)-$V$5:$V$34-($V$5:$V$34&lt;BO$4)*(BO$4-$V$5:$V$34)+1)&gt;0)*($W$5:$W$34-($W$5:$W$34&gt;BO$4+4)*($W$5:$W$34-BO$4-4)-$V$5:$V$34-($V$5:$V$34&lt;BO$4)*(BO$4-$V$5:$V$34)+1)*$F$5:$F$34)*(Settings!$C$16="Lara")+SUMPRODUCT(($X$5:$X$34&gt;0)*(($Z$5:$Z$34-($Z$5:$Z$34&gt;BO$4+4)*($Z$5:$Z$34-BO$4-4)-$Y$5:$Y$34-($Y$5:$Y$34&lt;BO$4)*(BO$4-$Y$5:$Y$34)+1)&gt;0)*($Z$5:$Z$34-($Z$5:$Z$34&gt;BO$4+4)*($Z$5:$Z$34-BO$4-4)-$Y$5:$Y$34-($Y$5:$Y$34&lt;BO$4)*(BO$4-$Y$5:$Y$34)+1)*$F$5:$F$34)*(Settings!$C$17="Lara")+SUMPRODUCT(($AA$5:$AA$34&gt;0)*(($AC$5:$AC$34-($AC$5:$AC$34&gt;BO$4+4)*($AC$5:$AC$34-BO$4-4)-$AB$5:$AB$34-($AB$5:$AB$34&lt;BO$4)*(BO$4-$AB$5:$AB$34)+1)&gt;0)*($AC$5:$AC$34-($AC$5:$AC$34&gt;BO$4+4)*($AC$5:$AC$34-BO$4-4)-$AB$5:$AB$34-($AB$5:$AB$34&lt;BO$4)*(BO$4-$AB$5:$AB$34)+1)*$F$5:$F$34)*(Settings!$C$18="Lara")+SUMPRODUCT(($AD$5:$AD$34&gt;0)*(($AF$5:$AF$34-($AF$5:$AF$34&gt;BO$4+4)*($AF$5:$AF$34-BO$4-4)-$AE$5:$AE$34-($AE$5:$AE$34&lt;BO$4)*(BO$4-$AE$5:$AE$34)+1)&gt;0)*($AF$5:$AF$34-($AF$5:$AF$34&gt;BO$4+4)*($AF$5:$AF$34-BO$4-4)-$AE$5:$AE$34-($AE$5:$AE$34&lt;BO$4)*(BO$4-$AE$5:$AE$34)+1)*$F$5:$F$34)*(Settings!$C$19="Lara"))/Settings!$C$5</f>
        <v/>
      </c>
      <c r="BP35" s="28">
        <f>(SUMPRODUCT(($I$5:$I$34&gt;0)*(($K$5:$K$34-($K$5:$K$34&gt;BP$4+4)*($K$5:$K$34-BP$4-4)-$J$5:$J$34-($J$5:$J$34&lt;BP$4)*(BP$4-$J$5:$J$34)+1)&gt;0)*($K$5:$K$34-($K$5:$K$34&gt;BP$4+4)*($K$5:$K$34-BP$4-4)-$J$5:$J$34-($J$5:$J$34&lt;BP$4)*(BP$4-$J$5:$J$34)+1)*$F$5:$F$34)*(Settings!$C$12="Lara")+SUMPRODUCT(($L$5:$L$34&gt;0)*(($N$5:$N$34-($N$5:$N$34&gt;BP$4+4)*($N$5:$N$34-BP$4-4)-$M$5:$M$34-($M$5:$M$34&lt;BP$4)*(BP$4-$M$5:$M$34)+1)&gt;0)*($N$5:$N$34-($N$5:$N$34&gt;BP$4+4)*($N$5:$N$34-BP$4-4)-$M$5:$M$34-($M$5:$M$34&lt;BP$4)*(BP$4-$M$5:$M$34)+1)*$F$5:$F$34)*(Settings!$C$13="Lara")+SUMPRODUCT(($O$5:$O$34&gt;0)*(($Q$5:$Q$34-($Q$5:$Q$34&gt;BP$4+4)*($Q$5:$Q$34-BP$4-4)-$P$5:$P$34-($P$5:$P$34&lt;BP$4)*(BP$4-$P$5:$P$34)+1)&gt;0)*($Q$5:$Q$34-($Q$5:$Q$34&gt;BP$4+4)*($Q$5:$Q$34-BP$4-4)-$P$5:$P$34-($P$5:$P$34&lt;BP$4)*(BP$4-$P$5:$P$34)+1)*$F$5:$F$34)*(Settings!$C$14="Lara")+SUMPRODUCT(($R$5:$R$34&gt;0)*(($T$5:$T$34-($T$5:$T$34&gt;BP$4+4)*($T$5:$T$34-BP$4-4)-$S$5:$S$34-($S$5:$S$34&lt;BP$4)*(BP$4-$S$5:$S$34)+1)&gt;0)*($T$5:$T$34-($T$5:$T$34&gt;BP$4+4)*($T$5:$T$34-BP$4-4)-$S$5:$S$34-($S$5:$S$34&lt;BP$4)*(BP$4-$S$5:$S$34)+1)*$F$5:$F$34)*(Settings!$C$15="Lara")+SUMPRODUCT(($U$5:$U$34&gt;0)*(($W$5:$W$34-($W$5:$W$34&gt;BP$4+4)*($W$5:$W$34-BP$4-4)-$V$5:$V$34-($V$5:$V$34&lt;BP$4)*(BP$4-$V$5:$V$34)+1)&gt;0)*($W$5:$W$34-($W$5:$W$34&gt;BP$4+4)*($W$5:$W$34-BP$4-4)-$V$5:$V$34-($V$5:$V$34&lt;BP$4)*(BP$4-$V$5:$V$34)+1)*$F$5:$F$34)*(Settings!$C$16="Lara")+SUMPRODUCT(($X$5:$X$34&gt;0)*(($Z$5:$Z$34-($Z$5:$Z$34&gt;BP$4+4)*($Z$5:$Z$34-BP$4-4)-$Y$5:$Y$34-($Y$5:$Y$34&lt;BP$4)*(BP$4-$Y$5:$Y$34)+1)&gt;0)*($Z$5:$Z$34-($Z$5:$Z$34&gt;BP$4+4)*($Z$5:$Z$34-BP$4-4)-$Y$5:$Y$34-($Y$5:$Y$34&lt;BP$4)*(BP$4-$Y$5:$Y$34)+1)*$F$5:$F$34)*(Settings!$C$17="Lara")+SUMPRODUCT(($AA$5:$AA$34&gt;0)*(($AC$5:$AC$34-($AC$5:$AC$34&gt;BP$4+4)*($AC$5:$AC$34-BP$4-4)-$AB$5:$AB$34-($AB$5:$AB$34&lt;BP$4)*(BP$4-$AB$5:$AB$34)+1)&gt;0)*($AC$5:$AC$34-($AC$5:$AC$34&gt;BP$4+4)*($AC$5:$AC$34-BP$4-4)-$AB$5:$AB$34-($AB$5:$AB$34&lt;BP$4)*(BP$4-$AB$5:$AB$34)+1)*$F$5:$F$34)*(Settings!$C$18="Lara")+SUMPRODUCT(($AD$5:$AD$34&gt;0)*(($AF$5:$AF$34-($AF$5:$AF$34&gt;BP$4+4)*($AF$5:$AF$34-BP$4-4)-$AE$5:$AE$34-($AE$5:$AE$34&lt;BP$4)*(BP$4-$AE$5:$AE$34)+1)&gt;0)*($AF$5:$AF$34-($AF$5:$AF$34&gt;BP$4+4)*($AF$5:$AF$34-BP$4-4)-$AE$5:$AE$34-($AE$5:$AE$34&lt;BP$4)*(BP$4-$AE$5:$AE$34)+1)*$F$5:$F$34)*(Settings!$C$19="Lara"))/Settings!$C$5</f>
        <v/>
      </c>
      <c r="BQ35" s="28">
        <f>(SUMPRODUCT(($I$5:$I$34&gt;0)*(($K$5:$K$34-($K$5:$K$34&gt;BQ$4+4)*($K$5:$K$34-BQ$4-4)-$J$5:$J$34-($J$5:$J$34&lt;BQ$4)*(BQ$4-$J$5:$J$34)+1)&gt;0)*($K$5:$K$34-($K$5:$K$34&gt;BQ$4+4)*($K$5:$K$34-BQ$4-4)-$J$5:$J$34-($J$5:$J$34&lt;BQ$4)*(BQ$4-$J$5:$J$34)+1)*$F$5:$F$34)*(Settings!$C$12="Lara")+SUMPRODUCT(($L$5:$L$34&gt;0)*(($N$5:$N$34-($N$5:$N$34&gt;BQ$4+4)*($N$5:$N$34-BQ$4-4)-$M$5:$M$34-($M$5:$M$34&lt;BQ$4)*(BQ$4-$M$5:$M$34)+1)&gt;0)*($N$5:$N$34-($N$5:$N$34&gt;BQ$4+4)*($N$5:$N$34-BQ$4-4)-$M$5:$M$34-($M$5:$M$34&lt;BQ$4)*(BQ$4-$M$5:$M$34)+1)*$F$5:$F$34)*(Settings!$C$13="Lara")+SUMPRODUCT(($O$5:$O$34&gt;0)*(($Q$5:$Q$34-($Q$5:$Q$34&gt;BQ$4+4)*($Q$5:$Q$34-BQ$4-4)-$P$5:$P$34-($P$5:$P$34&lt;BQ$4)*(BQ$4-$P$5:$P$34)+1)&gt;0)*($Q$5:$Q$34-($Q$5:$Q$34&gt;BQ$4+4)*($Q$5:$Q$34-BQ$4-4)-$P$5:$P$34-($P$5:$P$34&lt;BQ$4)*(BQ$4-$P$5:$P$34)+1)*$F$5:$F$34)*(Settings!$C$14="Lara")+SUMPRODUCT(($R$5:$R$34&gt;0)*(($T$5:$T$34-($T$5:$T$34&gt;BQ$4+4)*($T$5:$T$34-BQ$4-4)-$S$5:$S$34-($S$5:$S$34&lt;BQ$4)*(BQ$4-$S$5:$S$34)+1)&gt;0)*($T$5:$T$34-($T$5:$T$34&gt;BQ$4+4)*($T$5:$T$34-BQ$4-4)-$S$5:$S$34-($S$5:$S$34&lt;BQ$4)*(BQ$4-$S$5:$S$34)+1)*$F$5:$F$34)*(Settings!$C$15="Lara")+SUMPRODUCT(($U$5:$U$34&gt;0)*(($W$5:$W$34-($W$5:$W$34&gt;BQ$4+4)*($W$5:$W$34-BQ$4-4)-$V$5:$V$34-($V$5:$V$34&lt;BQ$4)*(BQ$4-$V$5:$V$34)+1)&gt;0)*($W$5:$W$34-($W$5:$W$34&gt;BQ$4+4)*($W$5:$W$34-BQ$4-4)-$V$5:$V$34-($V$5:$V$34&lt;BQ$4)*(BQ$4-$V$5:$V$34)+1)*$F$5:$F$34)*(Settings!$C$16="Lara")+SUMPRODUCT(($X$5:$X$34&gt;0)*(($Z$5:$Z$34-($Z$5:$Z$34&gt;BQ$4+4)*($Z$5:$Z$34-BQ$4-4)-$Y$5:$Y$34-($Y$5:$Y$34&lt;BQ$4)*(BQ$4-$Y$5:$Y$34)+1)&gt;0)*($Z$5:$Z$34-($Z$5:$Z$34&gt;BQ$4+4)*($Z$5:$Z$34-BQ$4-4)-$Y$5:$Y$34-($Y$5:$Y$34&lt;BQ$4)*(BQ$4-$Y$5:$Y$34)+1)*$F$5:$F$34)*(Settings!$C$17="Lara")+SUMPRODUCT(($AA$5:$AA$34&gt;0)*(($AC$5:$AC$34-($AC$5:$AC$34&gt;BQ$4+4)*($AC$5:$AC$34-BQ$4-4)-$AB$5:$AB$34-($AB$5:$AB$34&lt;BQ$4)*(BQ$4-$AB$5:$AB$34)+1)&gt;0)*($AC$5:$AC$34-($AC$5:$AC$34&gt;BQ$4+4)*($AC$5:$AC$34-BQ$4-4)-$AB$5:$AB$34-($AB$5:$AB$34&lt;BQ$4)*(BQ$4-$AB$5:$AB$34)+1)*$F$5:$F$34)*(Settings!$C$18="Lara")+SUMPRODUCT(($AD$5:$AD$34&gt;0)*(($AF$5:$AF$34-($AF$5:$AF$34&gt;BQ$4+4)*($AF$5:$AF$34-BQ$4-4)-$AE$5:$AE$34-($AE$5:$AE$34&lt;BQ$4)*(BQ$4-$AE$5:$AE$34)+1)&gt;0)*($AF$5:$AF$34-($AF$5:$AF$34&gt;BQ$4+4)*($AF$5:$AF$34-BQ$4-4)-$AE$5:$AE$34-($AE$5:$AE$34&lt;BQ$4)*(BQ$4-$AE$5:$AE$34)+1)*$F$5:$F$34)*(Settings!$C$19="Lara"))/Settings!$C$5</f>
        <v/>
      </c>
      <c r="BR35" s="28">
        <f>(SUMPRODUCT(($I$5:$I$34&gt;0)*(($K$5:$K$34-($K$5:$K$34&gt;BR$4+4)*($K$5:$K$34-BR$4-4)-$J$5:$J$34-($J$5:$J$34&lt;BR$4)*(BR$4-$J$5:$J$34)+1)&gt;0)*($K$5:$K$34-($K$5:$K$34&gt;BR$4+4)*($K$5:$K$34-BR$4-4)-$J$5:$J$34-($J$5:$J$34&lt;BR$4)*(BR$4-$J$5:$J$34)+1)*$F$5:$F$34)*(Settings!$C$12="Lara")+SUMPRODUCT(($L$5:$L$34&gt;0)*(($N$5:$N$34-($N$5:$N$34&gt;BR$4+4)*($N$5:$N$34-BR$4-4)-$M$5:$M$34-($M$5:$M$34&lt;BR$4)*(BR$4-$M$5:$M$34)+1)&gt;0)*($N$5:$N$34-($N$5:$N$34&gt;BR$4+4)*($N$5:$N$34-BR$4-4)-$M$5:$M$34-($M$5:$M$34&lt;BR$4)*(BR$4-$M$5:$M$34)+1)*$F$5:$F$34)*(Settings!$C$13="Lara")+SUMPRODUCT(($O$5:$O$34&gt;0)*(($Q$5:$Q$34-($Q$5:$Q$34&gt;BR$4+4)*($Q$5:$Q$34-BR$4-4)-$P$5:$P$34-($P$5:$P$34&lt;BR$4)*(BR$4-$P$5:$P$34)+1)&gt;0)*($Q$5:$Q$34-($Q$5:$Q$34&gt;BR$4+4)*($Q$5:$Q$34-BR$4-4)-$P$5:$P$34-($P$5:$P$34&lt;BR$4)*(BR$4-$P$5:$P$34)+1)*$F$5:$F$34)*(Settings!$C$14="Lara")+SUMPRODUCT(($R$5:$R$34&gt;0)*(($T$5:$T$34-($T$5:$T$34&gt;BR$4+4)*($T$5:$T$34-BR$4-4)-$S$5:$S$34-($S$5:$S$34&lt;BR$4)*(BR$4-$S$5:$S$34)+1)&gt;0)*($T$5:$T$34-($T$5:$T$34&gt;BR$4+4)*($T$5:$T$34-BR$4-4)-$S$5:$S$34-($S$5:$S$34&lt;BR$4)*(BR$4-$S$5:$S$34)+1)*$F$5:$F$34)*(Settings!$C$15="Lara")+SUMPRODUCT(($U$5:$U$34&gt;0)*(($W$5:$W$34-($W$5:$W$34&gt;BR$4+4)*($W$5:$W$34-BR$4-4)-$V$5:$V$34-($V$5:$V$34&lt;BR$4)*(BR$4-$V$5:$V$34)+1)&gt;0)*($W$5:$W$34-($W$5:$W$34&gt;BR$4+4)*($W$5:$W$34-BR$4-4)-$V$5:$V$34-($V$5:$V$34&lt;BR$4)*(BR$4-$V$5:$V$34)+1)*$F$5:$F$34)*(Settings!$C$16="Lara")+SUMPRODUCT(($X$5:$X$34&gt;0)*(($Z$5:$Z$34-($Z$5:$Z$34&gt;BR$4+4)*($Z$5:$Z$34-BR$4-4)-$Y$5:$Y$34-($Y$5:$Y$34&lt;BR$4)*(BR$4-$Y$5:$Y$34)+1)&gt;0)*($Z$5:$Z$34-($Z$5:$Z$34&gt;BR$4+4)*($Z$5:$Z$34-BR$4-4)-$Y$5:$Y$34-($Y$5:$Y$34&lt;BR$4)*(BR$4-$Y$5:$Y$34)+1)*$F$5:$F$34)*(Settings!$C$17="Lara")+SUMPRODUCT(($AA$5:$AA$34&gt;0)*(($AC$5:$AC$34-($AC$5:$AC$34&gt;BR$4+4)*($AC$5:$AC$34-BR$4-4)-$AB$5:$AB$34-($AB$5:$AB$34&lt;BR$4)*(BR$4-$AB$5:$AB$34)+1)&gt;0)*($AC$5:$AC$34-($AC$5:$AC$34&gt;BR$4+4)*($AC$5:$AC$34-BR$4-4)-$AB$5:$AB$34-($AB$5:$AB$34&lt;BR$4)*(BR$4-$AB$5:$AB$34)+1)*$F$5:$F$34)*(Settings!$C$18="Lara")+SUMPRODUCT(($AD$5:$AD$34&gt;0)*(($AF$5:$AF$34-($AF$5:$AF$34&gt;BR$4+4)*($AF$5:$AF$34-BR$4-4)-$AE$5:$AE$34-($AE$5:$AE$34&lt;BR$4)*(BR$4-$AE$5:$AE$34)+1)&gt;0)*($AF$5:$AF$34-($AF$5:$AF$34&gt;BR$4+4)*($AF$5:$AF$34-BR$4-4)-$AE$5:$AE$34-($AE$5:$AE$34&lt;BR$4)*(BR$4-$AE$5:$AE$34)+1)*$F$5:$F$34)*(Settings!$C$19="Lara"))/Settings!$C$5</f>
        <v/>
      </c>
      <c r="BS35" s="28">
        <f>(SUMPRODUCT(($I$5:$I$34&gt;0)*(($K$5:$K$34-($K$5:$K$34&gt;BS$4+4)*($K$5:$K$34-BS$4-4)-$J$5:$J$34-($J$5:$J$34&lt;BS$4)*(BS$4-$J$5:$J$34)+1)&gt;0)*($K$5:$K$34-($K$5:$K$34&gt;BS$4+4)*($K$5:$K$34-BS$4-4)-$J$5:$J$34-($J$5:$J$34&lt;BS$4)*(BS$4-$J$5:$J$34)+1)*$F$5:$F$34)*(Settings!$C$12="Lara")+SUMPRODUCT(($L$5:$L$34&gt;0)*(($N$5:$N$34-($N$5:$N$34&gt;BS$4+4)*($N$5:$N$34-BS$4-4)-$M$5:$M$34-($M$5:$M$34&lt;BS$4)*(BS$4-$M$5:$M$34)+1)&gt;0)*($N$5:$N$34-($N$5:$N$34&gt;BS$4+4)*($N$5:$N$34-BS$4-4)-$M$5:$M$34-($M$5:$M$34&lt;BS$4)*(BS$4-$M$5:$M$34)+1)*$F$5:$F$34)*(Settings!$C$13="Lara")+SUMPRODUCT(($O$5:$O$34&gt;0)*(($Q$5:$Q$34-($Q$5:$Q$34&gt;BS$4+4)*($Q$5:$Q$34-BS$4-4)-$P$5:$P$34-($P$5:$P$34&lt;BS$4)*(BS$4-$P$5:$P$34)+1)&gt;0)*($Q$5:$Q$34-($Q$5:$Q$34&gt;BS$4+4)*($Q$5:$Q$34-BS$4-4)-$P$5:$P$34-($P$5:$P$34&lt;BS$4)*(BS$4-$P$5:$P$34)+1)*$F$5:$F$34)*(Settings!$C$14="Lara")+SUMPRODUCT(($R$5:$R$34&gt;0)*(($T$5:$T$34-($T$5:$T$34&gt;BS$4+4)*($T$5:$T$34-BS$4-4)-$S$5:$S$34-($S$5:$S$34&lt;BS$4)*(BS$4-$S$5:$S$34)+1)&gt;0)*($T$5:$T$34-($T$5:$T$34&gt;BS$4+4)*($T$5:$T$34-BS$4-4)-$S$5:$S$34-($S$5:$S$34&lt;BS$4)*(BS$4-$S$5:$S$34)+1)*$F$5:$F$34)*(Settings!$C$15="Lara")+SUMPRODUCT(($U$5:$U$34&gt;0)*(($W$5:$W$34-($W$5:$W$34&gt;BS$4+4)*($W$5:$W$34-BS$4-4)-$V$5:$V$34-($V$5:$V$34&lt;BS$4)*(BS$4-$V$5:$V$34)+1)&gt;0)*($W$5:$W$34-($W$5:$W$34&gt;BS$4+4)*($W$5:$W$34-BS$4-4)-$V$5:$V$34-($V$5:$V$34&lt;BS$4)*(BS$4-$V$5:$V$34)+1)*$F$5:$F$34)*(Settings!$C$16="Lara")+SUMPRODUCT(($X$5:$X$34&gt;0)*(($Z$5:$Z$34-($Z$5:$Z$34&gt;BS$4+4)*($Z$5:$Z$34-BS$4-4)-$Y$5:$Y$34-($Y$5:$Y$34&lt;BS$4)*(BS$4-$Y$5:$Y$34)+1)&gt;0)*($Z$5:$Z$34-($Z$5:$Z$34&gt;BS$4+4)*($Z$5:$Z$34-BS$4-4)-$Y$5:$Y$34-($Y$5:$Y$34&lt;BS$4)*(BS$4-$Y$5:$Y$34)+1)*$F$5:$F$34)*(Settings!$C$17="Lara")+SUMPRODUCT(($AA$5:$AA$34&gt;0)*(($AC$5:$AC$34-($AC$5:$AC$34&gt;BS$4+4)*($AC$5:$AC$34-BS$4-4)-$AB$5:$AB$34-($AB$5:$AB$34&lt;BS$4)*(BS$4-$AB$5:$AB$34)+1)&gt;0)*($AC$5:$AC$34-($AC$5:$AC$34&gt;BS$4+4)*($AC$5:$AC$34-BS$4-4)-$AB$5:$AB$34-($AB$5:$AB$34&lt;BS$4)*(BS$4-$AB$5:$AB$34)+1)*$F$5:$F$34)*(Settings!$C$18="Lara")+SUMPRODUCT(($AD$5:$AD$34&gt;0)*(($AF$5:$AF$34-($AF$5:$AF$34&gt;BS$4+4)*($AF$5:$AF$34-BS$4-4)-$AE$5:$AE$34-($AE$5:$AE$34&lt;BS$4)*(BS$4-$AE$5:$AE$34)+1)&gt;0)*($AF$5:$AF$34-($AF$5:$AF$34&gt;BS$4+4)*($AF$5:$AF$34-BS$4-4)-$AE$5:$AE$34-($AE$5:$AE$34&lt;BS$4)*(BS$4-$AE$5:$AE$34)+1)*$F$5:$F$34)*(Settings!$C$19="Lara"))/Settings!$C$5</f>
        <v/>
      </c>
      <c r="BT35" s="28">
        <f>(SUMPRODUCT(($I$5:$I$34&gt;0)*(($K$5:$K$34-($K$5:$K$34&gt;BT$4+4)*($K$5:$K$34-BT$4-4)-$J$5:$J$34-($J$5:$J$34&lt;BT$4)*(BT$4-$J$5:$J$34)+1)&gt;0)*($K$5:$K$34-($K$5:$K$34&gt;BT$4+4)*($K$5:$K$34-BT$4-4)-$J$5:$J$34-($J$5:$J$34&lt;BT$4)*(BT$4-$J$5:$J$34)+1)*$F$5:$F$34)*(Settings!$C$12="Lara")+SUMPRODUCT(($L$5:$L$34&gt;0)*(($N$5:$N$34-($N$5:$N$34&gt;BT$4+4)*($N$5:$N$34-BT$4-4)-$M$5:$M$34-($M$5:$M$34&lt;BT$4)*(BT$4-$M$5:$M$34)+1)&gt;0)*($N$5:$N$34-($N$5:$N$34&gt;BT$4+4)*($N$5:$N$34-BT$4-4)-$M$5:$M$34-($M$5:$M$34&lt;BT$4)*(BT$4-$M$5:$M$34)+1)*$F$5:$F$34)*(Settings!$C$13="Lara")+SUMPRODUCT(($O$5:$O$34&gt;0)*(($Q$5:$Q$34-($Q$5:$Q$34&gt;BT$4+4)*($Q$5:$Q$34-BT$4-4)-$P$5:$P$34-($P$5:$P$34&lt;BT$4)*(BT$4-$P$5:$P$34)+1)&gt;0)*($Q$5:$Q$34-($Q$5:$Q$34&gt;BT$4+4)*($Q$5:$Q$34-BT$4-4)-$P$5:$P$34-($P$5:$P$34&lt;BT$4)*(BT$4-$P$5:$P$34)+1)*$F$5:$F$34)*(Settings!$C$14="Lara")+SUMPRODUCT(($R$5:$R$34&gt;0)*(($T$5:$T$34-($T$5:$T$34&gt;BT$4+4)*($T$5:$T$34-BT$4-4)-$S$5:$S$34-($S$5:$S$34&lt;BT$4)*(BT$4-$S$5:$S$34)+1)&gt;0)*($T$5:$T$34-($T$5:$T$34&gt;BT$4+4)*($T$5:$T$34-BT$4-4)-$S$5:$S$34-($S$5:$S$34&lt;BT$4)*(BT$4-$S$5:$S$34)+1)*$F$5:$F$34)*(Settings!$C$15="Lara")+SUMPRODUCT(($U$5:$U$34&gt;0)*(($W$5:$W$34-($W$5:$W$34&gt;BT$4+4)*($W$5:$W$34-BT$4-4)-$V$5:$V$34-($V$5:$V$34&lt;BT$4)*(BT$4-$V$5:$V$34)+1)&gt;0)*($W$5:$W$34-($W$5:$W$34&gt;BT$4+4)*($W$5:$W$34-BT$4-4)-$V$5:$V$34-($V$5:$V$34&lt;BT$4)*(BT$4-$V$5:$V$34)+1)*$F$5:$F$34)*(Settings!$C$16="Lara")+SUMPRODUCT(($X$5:$X$34&gt;0)*(($Z$5:$Z$34-($Z$5:$Z$34&gt;BT$4+4)*($Z$5:$Z$34-BT$4-4)-$Y$5:$Y$34-($Y$5:$Y$34&lt;BT$4)*(BT$4-$Y$5:$Y$34)+1)&gt;0)*($Z$5:$Z$34-($Z$5:$Z$34&gt;BT$4+4)*($Z$5:$Z$34-BT$4-4)-$Y$5:$Y$34-($Y$5:$Y$34&lt;BT$4)*(BT$4-$Y$5:$Y$34)+1)*$F$5:$F$34)*(Settings!$C$17="Lara")+SUMPRODUCT(($AA$5:$AA$34&gt;0)*(($AC$5:$AC$34-($AC$5:$AC$34&gt;BT$4+4)*($AC$5:$AC$34-BT$4-4)-$AB$5:$AB$34-($AB$5:$AB$34&lt;BT$4)*(BT$4-$AB$5:$AB$34)+1)&gt;0)*($AC$5:$AC$34-($AC$5:$AC$34&gt;BT$4+4)*($AC$5:$AC$34-BT$4-4)-$AB$5:$AB$34-($AB$5:$AB$34&lt;BT$4)*(BT$4-$AB$5:$AB$34)+1)*$F$5:$F$34)*(Settings!$C$18="Lara")+SUMPRODUCT(($AD$5:$AD$34&gt;0)*(($AF$5:$AF$34-($AF$5:$AF$34&gt;BT$4+4)*($AF$5:$AF$34-BT$4-4)-$AE$5:$AE$34-($AE$5:$AE$34&lt;BT$4)*(BT$4-$AE$5:$AE$34)+1)&gt;0)*($AF$5:$AF$34-($AF$5:$AF$34&gt;BT$4+4)*($AF$5:$AF$34-BT$4-4)-$AE$5:$AE$34-($AE$5:$AE$34&lt;BT$4)*(BT$4-$AE$5:$AE$34)+1)*$F$5:$F$34)*(Settings!$C$19="Lara"))/Settings!$C$5</f>
        <v/>
      </c>
      <c r="BU35" s="28">
        <f>(SUMPRODUCT(($I$5:$I$34&gt;0)*(($K$5:$K$34-($K$5:$K$34&gt;BU$4+4)*($K$5:$K$34-BU$4-4)-$J$5:$J$34-($J$5:$J$34&lt;BU$4)*(BU$4-$J$5:$J$34)+1)&gt;0)*($K$5:$K$34-($K$5:$K$34&gt;BU$4+4)*($K$5:$K$34-BU$4-4)-$J$5:$J$34-($J$5:$J$34&lt;BU$4)*(BU$4-$J$5:$J$34)+1)*$F$5:$F$34)*(Settings!$C$12="Lara")+SUMPRODUCT(($L$5:$L$34&gt;0)*(($N$5:$N$34-($N$5:$N$34&gt;BU$4+4)*($N$5:$N$34-BU$4-4)-$M$5:$M$34-($M$5:$M$34&lt;BU$4)*(BU$4-$M$5:$M$34)+1)&gt;0)*($N$5:$N$34-($N$5:$N$34&gt;BU$4+4)*($N$5:$N$34-BU$4-4)-$M$5:$M$34-($M$5:$M$34&lt;BU$4)*(BU$4-$M$5:$M$34)+1)*$F$5:$F$34)*(Settings!$C$13="Lara")+SUMPRODUCT(($O$5:$O$34&gt;0)*(($Q$5:$Q$34-($Q$5:$Q$34&gt;BU$4+4)*($Q$5:$Q$34-BU$4-4)-$P$5:$P$34-($P$5:$P$34&lt;BU$4)*(BU$4-$P$5:$P$34)+1)&gt;0)*($Q$5:$Q$34-($Q$5:$Q$34&gt;BU$4+4)*($Q$5:$Q$34-BU$4-4)-$P$5:$P$34-($P$5:$P$34&lt;BU$4)*(BU$4-$P$5:$P$34)+1)*$F$5:$F$34)*(Settings!$C$14="Lara")+SUMPRODUCT(($R$5:$R$34&gt;0)*(($T$5:$T$34-($T$5:$T$34&gt;BU$4+4)*($T$5:$T$34-BU$4-4)-$S$5:$S$34-($S$5:$S$34&lt;BU$4)*(BU$4-$S$5:$S$34)+1)&gt;0)*($T$5:$T$34-($T$5:$T$34&gt;BU$4+4)*($T$5:$T$34-BU$4-4)-$S$5:$S$34-($S$5:$S$34&lt;BU$4)*(BU$4-$S$5:$S$34)+1)*$F$5:$F$34)*(Settings!$C$15="Lara")+SUMPRODUCT(($U$5:$U$34&gt;0)*(($W$5:$W$34-($W$5:$W$34&gt;BU$4+4)*($W$5:$W$34-BU$4-4)-$V$5:$V$34-($V$5:$V$34&lt;BU$4)*(BU$4-$V$5:$V$34)+1)&gt;0)*($W$5:$W$34-($W$5:$W$34&gt;BU$4+4)*($W$5:$W$34-BU$4-4)-$V$5:$V$34-($V$5:$V$34&lt;BU$4)*(BU$4-$V$5:$V$34)+1)*$F$5:$F$34)*(Settings!$C$16="Lara")+SUMPRODUCT(($X$5:$X$34&gt;0)*(($Z$5:$Z$34-($Z$5:$Z$34&gt;BU$4+4)*($Z$5:$Z$34-BU$4-4)-$Y$5:$Y$34-($Y$5:$Y$34&lt;BU$4)*(BU$4-$Y$5:$Y$34)+1)&gt;0)*($Z$5:$Z$34-($Z$5:$Z$34&gt;BU$4+4)*($Z$5:$Z$34-BU$4-4)-$Y$5:$Y$34-($Y$5:$Y$34&lt;BU$4)*(BU$4-$Y$5:$Y$34)+1)*$F$5:$F$34)*(Settings!$C$17="Lara")+SUMPRODUCT(($AA$5:$AA$34&gt;0)*(($AC$5:$AC$34-($AC$5:$AC$34&gt;BU$4+4)*($AC$5:$AC$34-BU$4-4)-$AB$5:$AB$34-($AB$5:$AB$34&lt;BU$4)*(BU$4-$AB$5:$AB$34)+1)&gt;0)*($AC$5:$AC$34-($AC$5:$AC$34&gt;BU$4+4)*($AC$5:$AC$34-BU$4-4)-$AB$5:$AB$34-($AB$5:$AB$34&lt;BU$4)*(BU$4-$AB$5:$AB$34)+1)*$F$5:$F$34)*(Settings!$C$18="Lara")+SUMPRODUCT(($AD$5:$AD$34&gt;0)*(($AF$5:$AF$34-($AF$5:$AF$34&gt;BU$4+4)*($AF$5:$AF$34-BU$4-4)-$AE$5:$AE$34-($AE$5:$AE$34&lt;BU$4)*(BU$4-$AE$5:$AE$34)+1)&gt;0)*($AF$5:$AF$34-($AF$5:$AF$34&gt;BU$4+4)*($AF$5:$AF$34-BU$4-4)-$AE$5:$AE$34-($AE$5:$AE$34&lt;BU$4)*(BU$4-$AE$5:$AE$34)+1)*$F$5:$F$34)*(Settings!$C$19="Lara"))/Settings!$C$5</f>
        <v/>
      </c>
      <c r="BV35" s="28">
        <f>(SUMPRODUCT(($I$5:$I$34&gt;0)*(($K$5:$K$34-($K$5:$K$34&gt;BV$4+4)*($K$5:$K$34-BV$4-4)-$J$5:$J$34-($J$5:$J$34&lt;BV$4)*(BV$4-$J$5:$J$34)+1)&gt;0)*($K$5:$K$34-($K$5:$K$34&gt;BV$4+4)*($K$5:$K$34-BV$4-4)-$J$5:$J$34-($J$5:$J$34&lt;BV$4)*(BV$4-$J$5:$J$34)+1)*$F$5:$F$34)*(Settings!$C$12="Lara")+SUMPRODUCT(($L$5:$L$34&gt;0)*(($N$5:$N$34-($N$5:$N$34&gt;BV$4+4)*($N$5:$N$34-BV$4-4)-$M$5:$M$34-($M$5:$M$34&lt;BV$4)*(BV$4-$M$5:$M$34)+1)&gt;0)*($N$5:$N$34-($N$5:$N$34&gt;BV$4+4)*($N$5:$N$34-BV$4-4)-$M$5:$M$34-($M$5:$M$34&lt;BV$4)*(BV$4-$M$5:$M$34)+1)*$F$5:$F$34)*(Settings!$C$13="Lara")+SUMPRODUCT(($O$5:$O$34&gt;0)*(($Q$5:$Q$34-($Q$5:$Q$34&gt;BV$4+4)*($Q$5:$Q$34-BV$4-4)-$P$5:$P$34-($P$5:$P$34&lt;BV$4)*(BV$4-$P$5:$P$34)+1)&gt;0)*($Q$5:$Q$34-($Q$5:$Q$34&gt;BV$4+4)*($Q$5:$Q$34-BV$4-4)-$P$5:$P$34-($P$5:$P$34&lt;BV$4)*(BV$4-$P$5:$P$34)+1)*$F$5:$F$34)*(Settings!$C$14="Lara")+SUMPRODUCT(($R$5:$R$34&gt;0)*(($T$5:$T$34-($T$5:$T$34&gt;BV$4+4)*($T$5:$T$34-BV$4-4)-$S$5:$S$34-($S$5:$S$34&lt;BV$4)*(BV$4-$S$5:$S$34)+1)&gt;0)*($T$5:$T$34-($T$5:$T$34&gt;BV$4+4)*($T$5:$T$34-BV$4-4)-$S$5:$S$34-($S$5:$S$34&lt;BV$4)*(BV$4-$S$5:$S$34)+1)*$F$5:$F$34)*(Settings!$C$15="Lara")+SUMPRODUCT(($U$5:$U$34&gt;0)*(($W$5:$W$34-($W$5:$W$34&gt;BV$4+4)*($W$5:$W$34-BV$4-4)-$V$5:$V$34-($V$5:$V$34&lt;BV$4)*(BV$4-$V$5:$V$34)+1)&gt;0)*($W$5:$W$34-($W$5:$W$34&gt;BV$4+4)*($W$5:$W$34-BV$4-4)-$V$5:$V$34-($V$5:$V$34&lt;BV$4)*(BV$4-$V$5:$V$34)+1)*$F$5:$F$34)*(Settings!$C$16="Lara")+SUMPRODUCT(($X$5:$X$34&gt;0)*(($Z$5:$Z$34-($Z$5:$Z$34&gt;BV$4+4)*($Z$5:$Z$34-BV$4-4)-$Y$5:$Y$34-($Y$5:$Y$34&lt;BV$4)*(BV$4-$Y$5:$Y$34)+1)&gt;0)*($Z$5:$Z$34-($Z$5:$Z$34&gt;BV$4+4)*($Z$5:$Z$34-BV$4-4)-$Y$5:$Y$34-($Y$5:$Y$34&lt;BV$4)*(BV$4-$Y$5:$Y$34)+1)*$F$5:$F$34)*(Settings!$C$17="Lara")+SUMPRODUCT(($AA$5:$AA$34&gt;0)*(($AC$5:$AC$34-($AC$5:$AC$34&gt;BV$4+4)*($AC$5:$AC$34-BV$4-4)-$AB$5:$AB$34-($AB$5:$AB$34&lt;BV$4)*(BV$4-$AB$5:$AB$34)+1)&gt;0)*($AC$5:$AC$34-($AC$5:$AC$34&gt;BV$4+4)*($AC$5:$AC$34-BV$4-4)-$AB$5:$AB$34-($AB$5:$AB$34&lt;BV$4)*(BV$4-$AB$5:$AB$34)+1)*$F$5:$F$34)*(Settings!$C$18="Lara")+SUMPRODUCT(($AD$5:$AD$34&gt;0)*(($AF$5:$AF$34-($AF$5:$AF$34&gt;BV$4+4)*($AF$5:$AF$34-BV$4-4)-$AE$5:$AE$34-($AE$5:$AE$34&lt;BV$4)*(BV$4-$AE$5:$AE$34)+1)&gt;0)*($AF$5:$AF$34-($AF$5:$AF$34&gt;BV$4+4)*($AF$5:$AF$34-BV$4-4)-$AE$5:$AE$34-($AE$5:$AE$34&lt;BV$4)*(BV$4-$AE$5:$AE$34)+1)*$F$5:$F$34)*(Settings!$C$19="Lara"))/Settings!$C$5</f>
        <v/>
      </c>
      <c r="BW35" s="28">
        <f>(SUMPRODUCT(($I$5:$I$34&gt;0)*(($K$5:$K$34-($K$5:$K$34&gt;BW$4+4)*($K$5:$K$34-BW$4-4)-$J$5:$J$34-($J$5:$J$34&lt;BW$4)*(BW$4-$J$5:$J$34)+1)&gt;0)*($K$5:$K$34-($K$5:$K$34&gt;BW$4+4)*($K$5:$K$34-BW$4-4)-$J$5:$J$34-($J$5:$J$34&lt;BW$4)*(BW$4-$J$5:$J$34)+1)*$F$5:$F$34)*(Settings!$C$12="Lara")+SUMPRODUCT(($L$5:$L$34&gt;0)*(($N$5:$N$34-($N$5:$N$34&gt;BW$4+4)*($N$5:$N$34-BW$4-4)-$M$5:$M$34-($M$5:$M$34&lt;BW$4)*(BW$4-$M$5:$M$34)+1)&gt;0)*($N$5:$N$34-($N$5:$N$34&gt;BW$4+4)*($N$5:$N$34-BW$4-4)-$M$5:$M$34-($M$5:$M$34&lt;BW$4)*(BW$4-$M$5:$M$34)+1)*$F$5:$F$34)*(Settings!$C$13="Lara")+SUMPRODUCT(($O$5:$O$34&gt;0)*(($Q$5:$Q$34-($Q$5:$Q$34&gt;BW$4+4)*($Q$5:$Q$34-BW$4-4)-$P$5:$P$34-($P$5:$P$34&lt;BW$4)*(BW$4-$P$5:$P$34)+1)&gt;0)*($Q$5:$Q$34-($Q$5:$Q$34&gt;BW$4+4)*($Q$5:$Q$34-BW$4-4)-$P$5:$P$34-($P$5:$P$34&lt;BW$4)*(BW$4-$P$5:$P$34)+1)*$F$5:$F$34)*(Settings!$C$14="Lara")+SUMPRODUCT(($R$5:$R$34&gt;0)*(($T$5:$T$34-($T$5:$T$34&gt;BW$4+4)*($T$5:$T$34-BW$4-4)-$S$5:$S$34-($S$5:$S$34&lt;BW$4)*(BW$4-$S$5:$S$34)+1)&gt;0)*($T$5:$T$34-($T$5:$T$34&gt;BW$4+4)*($T$5:$T$34-BW$4-4)-$S$5:$S$34-($S$5:$S$34&lt;BW$4)*(BW$4-$S$5:$S$34)+1)*$F$5:$F$34)*(Settings!$C$15="Lara")+SUMPRODUCT(($U$5:$U$34&gt;0)*(($W$5:$W$34-($W$5:$W$34&gt;BW$4+4)*($W$5:$W$34-BW$4-4)-$V$5:$V$34-($V$5:$V$34&lt;BW$4)*(BW$4-$V$5:$V$34)+1)&gt;0)*($W$5:$W$34-($W$5:$W$34&gt;BW$4+4)*($W$5:$W$34-BW$4-4)-$V$5:$V$34-($V$5:$V$34&lt;BW$4)*(BW$4-$V$5:$V$34)+1)*$F$5:$F$34)*(Settings!$C$16="Lara")+SUMPRODUCT(($X$5:$X$34&gt;0)*(($Z$5:$Z$34-($Z$5:$Z$34&gt;BW$4+4)*($Z$5:$Z$34-BW$4-4)-$Y$5:$Y$34-($Y$5:$Y$34&lt;BW$4)*(BW$4-$Y$5:$Y$34)+1)&gt;0)*($Z$5:$Z$34-($Z$5:$Z$34&gt;BW$4+4)*($Z$5:$Z$34-BW$4-4)-$Y$5:$Y$34-($Y$5:$Y$34&lt;BW$4)*(BW$4-$Y$5:$Y$34)+1)*$F$5:$F$34)*(Settings!$C$17="Lara")+SUMPRODUCT(($AA$5:$AA$34&gt;0)*(($AC$5:$AC$34-($AC$5:$AC$34&gt;BW$4+4)*($AC$5:$AC$34-BW$4-4)-$AB$5:$AB$34-($AB$5:$AB$34&lt;BW$4)*(BW$4-$AB$5:$AB$34)+1)&gt;0)*($AC$5:$AC$34-($AC$5:$AC$34&gt;BW$4+4)*($AC$5:$AC$34-BW$4-4)-$AB$5:$AB$34-($AB$5:$AB$34&lt;BW$4)*(BW$4-$AB$5:$AB$34)+1)*$F$5:$F$34)*(Settings!$C$18="Lara")+SUMPRODUCT(($AD$5:$AD$34&gt;0)*(($AF$5:$AF$34-($AF$5:$AF$34&gt;BW$4+4)*($AF$5:$AF$34-BW$4-4)-$AE$5:$AE$34-($AE$5:$AE$34&lt;BW$4)*(BW$4-$AE$5:$AE$34)+1)&gt;0)*($AF$5:$AF$34-($AF$5:$AF$34&gt;BW$4+4)*($AF$5:$AF$34-BW$4-4)-$AE$5:$AE$34-($AE$5:$AE$34&lt;BW$4)*(BW$4-$AE$5:$AE$34)+1)*$F$5:$F$34)*(Settings!$C$19="Lara"))/Settings!$C$5</f>
        <v/>
      </c>
      <c r="BX35" s="28">
        <f>(SUMPRODUCT(($I$5:$I$34&gt;0)*(($K$5:$K$34-($K$5:$K$34&gt;BX$4+4)*($K$5:$K$34-BX$4-4)-$J$5:$J$34-($J$5:$J$34&lt;BX$4)*(BX$4-$J$5:$J$34)+1)&gt;0)*($K$5:$K$34-($K$5:$K$34&gt;BX$4+4)*($K$5:$K$34-BX$4-4)-$J$5:$J$34-($J$5:$J$34&lt;BX$4)*(BX$4-$J$5:$J$34)+1)*$F$5:$F$34)*(Settings!$C$12="Lara")+SUMPRODUCT(($L$5:$L$34&gt;0)*(($N$5:$N$34-($N$5:$N$34&gt;BX$4+4)*($N$5:$N$34-BX$4-4)-$M$5:$M$34-($M$5:$M$34&lt;BX$4)*(BX$4-$M$5:$M$34)+1)&gt;0)*($N$5:$N$34-($N$5:$N$34&gt;BX$4+4)*($N$5:$N$34-BX$4-4)-$M$5:$M$34-($M$5:$M$34&lt;BX$4)*(BX$4-$M$5:$M$34)+1)*$F$5:$F$34)*(Settings!$C$13="Lara")+SUMPRODUCT(($O$5:$O$34&gt;0)*(($Q$5:$Q$34-($Q$5:$Q$34&gt;BX$4+4)*($Q$5:$Q$34-BX$4-4)-$P$5:$P$34-($P$5:$P$34&lt;BX$4)*(BX$4-$P$5:$P$34)+1)&gt;0)*($Q$5:$Q$34-($Q$5:$Q$34&gt;BX$4+4)*($Q$5:$Q$34-BX$4-4)-$P$5:$P$34-($P$5:$P$34&lt;BX$4)*(BX$4-$P$5:$P$34)+1)*$F$5:$F$34)*(Settings!$C$14="Lara")+SUMPRODUCT(($R$5:$R$34&gt;0)*(($T$5:$T$34-($T$5:$T$34&gt;BX$4+4)*($T$5:$T$34-BX$4-4)-$S$5:$S$34-($S$5:$S$34&lt;BX$4)*(BX$4-$S$5:$S$34)+1)&gt;0)*($T$5:$T$34-($T$5:$T$34&gt;BX$4+4)*($T$5:$T$34-BX$4-4)-$S$5:$S$34-($S$5:$S$34&lt;BX$4)*(BX$4-$S$5:$S$34)+1)*$F$5:$F$34)*(Settings!$C$15="Lara")+SUMPRODUCT(($U$5:$U$34&gt;0)*(($W$5:$W$34-($W$5:$W$34&gt;BX$4+4)*($W$5:$W$34-BX$4-4)-$V$5:$V$34-($V$5:$V$34&lt;BX$4)*(BX$4-$V$5:$V$34)+1)&gt;0)*($W$5:$W$34-($W$5:$W$34&gt;BX$4+4)*($W$5:$W$34-BX$4-4)-$V$5:$V$34-($V$5:$V$34&lt;BX$4)*(BX$4-$V$5:$V$34)+1)*$F$5:$F$34)*(Settings!$C$16="Lara")+SUMPRODUCT(($X$5:$X$34&gt;0)*(($Z$5:$Z$34-($Z$5:$Z$34&gt;BX$4+4)*($Z$5:$Z$34-BX$4-4)-$Y$5:$Y$34-($Y$5:$Y$34&lt;BX$4)*(BX$4-$Y$5:$Y$34)+1)&gt;0)*($Z$5:$Z$34-($Z$5:$Z$34&gt;BX$4+4)*($Z$5:$Z$34-BX$4-4)-$Y$5:$Y$34-($Y$5:$Y$34&lt;BX$4)*(BX$4-$Y$5:$Y$34)+1)*$F$5:$F$34)*(Settings!$C$17="Lara")+SUMPRODUCT(($AA$5:$AA$34&gt;0)*(($AC$5:$AC$34-($AC$5:$AC$34&gt;BX$4+4)*($AC$5:$AC$34-BX$4-4)-$AB$5:$AB$34-($AB$5:$AB$34&lt;BX$4)*(BX$4-$AB$5:$AB$34)+1)&gt;0)*($AC$5:$AC$34-($AC$5:$AC$34&gt;BX$4+4)*($AC$5:$AC$34-BX$4-4)-$AB$5:$AB$34-($AB$5:$AB$34&lt;BX$4)*(BX$4-$AB$5:$AB$34)+1)*$F$5:$F$34)*(Settings!$C$18="Lara")+SUMPRODUCT(($AD$5:$AD$34&gt;0)*(($AF$5:$AF$34-($AF$5:$AF$34&gt;BX$4+4)*($AF$5:$AF$34-BX$4-4)-$AE$5:$AE$34-($AE$5:$AE$34&lt;BX$4)*(BX$4-$AE$5:$AE$34)+1)&gt;0)*($AF$5:$AF$34-($AF$5:$AF$34&gt;BX$4+4)*($AF$5:$AF$34-BX$4-4)-$AE$5:$AE$34-($AE$5:$AE$34&lt;BX$4)*(BX$4-$AE$5:$AE$34)+1)*$F$5:$F$34)*(Settings!$C$19="Lara"))/Settings!$C$5</f>
        <v/>
      </c>
      <c r="BY35" s="28">
        <f>(SUMPRODUCT(($I$5:$I$34&gt;0)*(($K$5:$K$34-($K$5:$K$34&gt;BY$4+4)*($K$5:$K$34-BY$4-4)-$J$5:$J$34-($J$5:$J$34&lt;BY$4)*(BY$4-$J$5:$J$34)+1)&gt;0)*($K$5:$K$34-($K$5:$K$34&gt;BY$4+4)*($K$5:$K$34-BY$4-4)-$J$5:$J$34-($J$5:$J$34&lt;BY$4)*(BY$4-$J$5:$J$34)+1)*$F$5:$F$34)*(Settings!$C$12="Lara")+SUMPRODUCT(($L$5:$L$34&gt;0)*(($N$5:$N$34-($N$5:$N$34&gt;BY$4+4)*($N$5:$N$34-BY$4-4)-$M$5:$M$34-($M$5:$M$34&lt;BY$4)*(BY$4-$M$5:$M$34)+1)&gt;0)*($N$5:$N$34-($N$5:$N$34&gt;BY$4+4)*($N$5:$N$34-BY$4-4)-$M$5:$M$34-($M$5:$M$34&lt;BY$4)*(BY$4-$M$5:$M$34)+1)*$F$5:$F$34)*(Settings!$C$13="Lara")+SUMPRODUCT(($O$5:$O$34&gt;0)*(($Q$5:$Q$34-($Q$5:$Q$34&gt;BY$4+4)*($Q$5:$Q$34-BY$4-4)-$P$5:$P$34-($P$5:$P$34&lt;BY$4)*(BY$4-$P$5:$P$34)+1)&gt;0)*($Q$5:$Q$34-($Q$5:$Q$34&gt;BY$4+4)*($Q$5:$Q$34-BY$4-4)-$P$5:$P$34-($P$5:$P$34&lt;BY$4)*(BY$4-$P$5:$P$34)+1)*$F$5:$F$34)*(Settings!$C$14="Lara")+SUMPRODUCT(($R$5:$R$34&gt;0)*(($T$5:$T$34-($T$5:$T$34&gt;BY$4+4)*($T$5:$T$34-BY$4-4)-$S$5:$S$34-($S$5:$S$34&lt;BY$4)*(BY$4-$S$5:$S$34)+1)&gt;0)*($T$5:$T$34-($T$5:$T$34&gt;BY$4+4)*($T$5:$T$34-BY$4-4)-$S$5:$S$34-($S$5:$S$34&lt;BY$4)*(BY$4-$S$5:$S$34)+1)*$F$5:$F$34)*(Settings!$C$15="Lara")+SUMPRODUCT(($U$5:$U$34&gt;0)*(($W$5:$W$34-($W$5:$W$34&gt;BY$4+4)*($W$5:$W$34-BY$4-4)-$V$5:$V$34-($V$5:$V$34&lt;BY$4)*(BY$4-$V$5:$V$34)+1)&gt;0)*($W$5:$W$34-($W$5:$W$34&gt;BY$4+4)*($W$5:$W$34-BY$4-4)-$V$5:$V$34-($V$5:$V$34&lt;BY$4)*(BY$4-$V$5:$V$34)+1)*$F$5:$F$34)*(Settings!$C$16="Lara")+SUMPRODUCT(($X$5:$X$34&gt;0)*(($Z$5:$Z$34-($Z$5:$Z$34&gt;BY$4+4)*($Z$5:$Z$34-BY$4-4)-$Y$5:$Y$34-($Y$5:$Y$34&lt;BY$4)*(BY$4-$Y$5:$Y$34)+1)&gt;0)*($Z$5:$Z$34-($Z$5:$Z$34&gt;BY$4+4)*($Z$5:$Z$34-BY$4-4)-$Y$5:$Y$34-($Y$5:$Y$34&lt;BY$4)*(BY$4-$Y$5:$Y$34)+1)*$F$5:$F$34)*(Settings!$C$17="Lara")+SUMPRODUCT(($AA$5:$AA$34&gt;0)*(($AC$5:$AC$34-($AC$5:$AC$34&gt;BY$4+4)*($AC$5:$AC$34-BY$4-4)-$AB$5:$AB$34-($AB$5:$AB$34&lt;BY$4)*(BY$4-$AB$5:$AB$34)+1)&gt;0)*($AC$5:$AC$34-($AC$5:$AC$34&gt;BY$4+4)*($AC$5:$AC$34-BY$4-4)-$AB$5:$AB$34-($AB$5:$AB$34&lt;BY$4)*(BY$4-$AB$5:$AB$34)+1)*$F$5:$F$34)*(Settings!$C$18="Lara")+SUMPRODUCT(($AD$5:$AD$34&gt;0)*(($AF$5:$AF$34-($AF$5:$AF$34&gt;BY$4+4)*($AF$5:$AF$34-BY$4-4)-$AE$5:$AE$34-($AE$5:$AE$34&lt;BY$4)*(BY$4-$AE$5:$AE$34)+1)&gt;0)*($AF$5:$AF$34-($AF$5:$AF$34&gt;BY$4+4)*($AF$5:$AF$34-BY$4-4)-$AE$5:$AE$34-($AE$5:$AE$34&lt;BY$4)*(BY$4-$AE$5:$AE$34)+1)*$F$5:$F$34)*(Settings!$C$19="Lara"))/Settings!$C$5</f>
        <v/>
      </c>
      <c r="BZ35" s="28">
        <f>(SUMPRODUCT(($I$5:$I$34&gt;0)*(($K$5:$K$34-($K$5:$K$34&gt;BZ$4+4)*($K$5:$K$34-BZ$4-4)-$J$5:$J$34-($J$5:$J$34&lt;BZ$4)*(BZ$4-$J$5:$J$34)+1)&gt;0)*($K$5:$K$34-($K$5:$K$34&gt;BZ$4+4)*($K$5:$K$34-BZ$4-4)-$J$5:$J$34-($J$5:$J$34&lt;BZ$4)*(BZ$4-$J$5:$J$34)+1)*$F$5:$F$34)*(Settings!$C$12="Lara")+SUMPRODUCT(($L$5:$L$34&gt;0)*(($N$5:$N$34-($N$5:$N$34&gt;BZ$4+4)*($N$5:$N$34-BZ$4-4)-$M$5:$M$34-($M$5:$M$34&lt;BZ$4)*(BZ$4-$M$5:$M$34)+1)&gt;0)*($N$5:$N$34-($N$5:$N$34&gt;BZ$4+4)*($N$5:$N$34-BZ$4-4)-$M$5:$M$34-($M$5:$M$34&lt;BZ$4)*(BZ$4-$M$5:$M$34)+1)*$F$5:$F$34)*(Settings!$C$13="Lara")+SUMPRODUCT(($O$5:$O$34&gt;0)*(($Q$5:$Q$34-($Q$5:$Q$34&gt;BZ$4+4)*($Q$5:$Q$34-BZ$4-4)-$P$5:$P$34-($P$5:$P$34&lt;BZ$4)*(BZ$4-$P$5:$P$34)+1)&gt;0)*($Q$5:$Q$34-($Q$5:$Q$34&gt;BZ$4+4)*($Q$5:$Q$34-BZ$4-4)-$P$5:$P$34-($P$5:$P$34&lt;BZ$4)*(BZ$4-$P$5:$P$34)+1)*$F$5:$F$34)*(Settings!$C$14="Lara")+SUMPRODUCT(($R$5:$R$34&gt;0)*(($T$5:$T$34-($T$5:$T$34&gt;BZ$4+4)*($T$5:$T$34-BZ$4-4)-$S$5:$S$34-($S$5:$S$34&lt;BZ$4)*(BZ$4-$S$5:$S$34)+1)&gt;0)*($T$5:$T$34-($T$5:$T$34&gt;BZ$4+4)*($T$5:$T$34-BZ$4-4)-$S$5:$S$34-($S$5:$S$34&lt;BZ$4)*(BZ$4-$S$5:$S$34)+1)*$F$5:$F$34)*(Settings!$C$15="Lara")+SUMPRODUCT(($U$5:$U$34&gt;0)*(($W$5:$W$34-($W$5:$W$34&gt;BZ$4+4)*($W$5:$W$34-BZ$4-4)-$V$5:$V$34-($V$5:$V$34&lt;BZ$4)*(BZ$4-$V$5:$V$34)+1)&gt;0)*($W$5:$W$34-($W$5:$W$34&gt;BZ$4+4)*($W$5:$W$34-BZ$4-4)-$V$5:$V$34-($V$5:$V$34&lt;BZ$4)*(BZ$4-$V$5:$V$34)+1)*$F$5:$F$34)*(Settings!$C$16="Lara")+SUMPRODUCT(($X$5:$X$34&gt;0)*(($Z$5:$Z$34-($Z$5:$Z$34&gt;BZ$4+4)*($Z$5:$Z$34-BZ$4-4)-$Y$5:$Y$34-($Y$5:$Y$34&lt;BZ$4)*(BZ$4-$Y$5:$Y$34)+1)&gt;0)*($Z$5:$Z$34-($Z$5:$Z$34&gt;BZ$4+4)*($Z$5:$Z$34-BZ$4-4)-$Y$5:$Y$34-($Y$5:$Y$34&lt;BZ$4)*(BZ$4-$Y$5:$Y$34)+1)*$F$5:$F$34)*(Settings!$C$17="Lara")+SUMPRODUCT(($AA$5:$AA$34&gt;0)*(($AC$5:$AC$34-($AC$5:$AC$34&gt;BZ$4+4)*($AC$5:$AC$34-BZ$4-4)-$AB$5:$AB$34-($AB$5:$AB$34&lt;BZ$4)*(BZ$4-$AB$5:$AB$34)+1)&gt;0)*($AC$5:$AC$34-($AC$5:$AC$34&gt;BZ$4+4)*($AC$5:$AC$34-BZ$4-4)-$AB$5:$AB$34-($AB$5:$AB$34&lt;BZ$4)*(BZ$4-$AB$5:$AB$34)+1)*$F$5:$F$34)*(Settings!$C$18="Lara")+SUMPRODUCT(($AD$5:$AD$34&gt;0)*(($AF$5:$AF$34-($AF$5:$AF$34&gt;BZ$4+4)*($AF$5:$AF$34-BZ$4-4)-$AE$5:$AE$34-($AE$5:$AE$34&lt;BZ$4)*(BZ$4-$AE$5:$AE$34)+1)&gt;0)*($AF$5:$AF$34-($AF$5:$AF$34&gt;BZ$4+4)*($AF$5:$AF$34-BZ$4-4)-$AE$5:$AE$34-($AE$5:$AE$34&lt;BZ$4)*(BZ$4-$AE$5:$AE$34)+1)*$F$5:$F$34)*(Settings!$C$19="Lara"))/Settings!$C$5</f>
        <v/>
      </c>
      <c r="CA35" s="28">
        <f>(SUMPRODUCT(($I$5:$I$34&gt;0)*(($K$5:$K$34-($K$5:$K$34&gt;CA$4+4)*($K$5:$K$34-CA$4-4)-$J$5:$J$34-($J$5:$J$34&lt;CA$4)*(CA$4-$J$5:$J$34)+1)&gt;0)*($K$5:$K$34-($K$5:$K$34&gt;CA$4+4)*($K$5:$K$34-CA$4-4)-$J$5:$J$34-($J$5:$J$34&lt;CA$4)*(CA$4-$J$5:$J$34)+1)*$F$5:$F$34)*(Settings!$C$12="Lara")+SUMPRODUCT(($L$5:$L$34&gt;0)*(($N$5:$N$34-($N$5:$N$34&gt;CA$4+4)*($N$5:$N$34-CA$4-4)-$M$5:$M$34-($M$5:$M$34&lt;CA$4)*(CA$4-$M$5:$M$34)+1)&gt;0)*($N$5:$N$34-($N$5:$N$34&gt;CA$4+4)*($N$5:$N$34-CA$4-4)-$M$5:$M$34-($M$5:$M$34&lt;CA$4)*(CA$4-$M$5:$M$34)+1)*$F$5:$F$34)*(Settings!$C$13="Lara")+SUMPRODUCT(($O$5:$O$34&gt;0)*(($Q$5:$Q$34-($Q$5:$Q$34&gt;CA$4+4)*($Q$5:$Q$34-CA$4-4)-$P$5:$P$34-($P$5:$P$34&lt;CA$4)*(CA$4-$P$5:$P$34)+1)&gt;0)*($Q$5:$Q$34-($Q$5:$Q$34&gt;CA$4+4)*($Q$5:$Q$34-CA$4-4)-$P$5:$P$34-($P$5:$P$34&lt;CA$4)*(CA$4-$P$5:$P$34)+1)*$F$5:$F$34)*(Settings!$C$14="Lara")+SUMPRODUCT(($R$5:$R$34&gt;0)*(($T$5:$T$34-($T$5:$T$34&gt;CA$4+4)*($T$5:$T$34-CA$4-4)-$S$5:$S$34-($S$5:$S$34&lt;CA$4)*(CA$4-$S$5:$S$34)+1)&gt;0)*($T$5:$T$34-($T$5:$T$34&gt;CA$4+4)*($T$5:$T$34-CA$4-4)-$S$5:$S$34-($S$5:$S$34&lt;CA$4)*(CA$4-$S$5:$S$34)+1)*$F$5:$F$34)*(Settings!$C$15="Lara")+SUMPRODUCT(($U$5:$U$34&gt;0)*(($W$5:$W$34-($W$5:$W$34&gt;CA$4+4)*($W$5:$W$34-CA$4-4)-$V$5:$V$34-($V$5:$V$34&lt;CA$4)*(CA$4-$V$5:$V$34)+1)&gt;0)*($W$5:$W$34-($W$5:$W$34&gt;CA$4+4)*($W$5:$W$34-CA$4-4)-$V$5:$V$34-($V$5:$V$34&lt;CA$4)*(CA$4-$V$5:$V$34)+1)*$F$5:$F$34)*(Settings!$C$16="Lara")+SUMPRODUCT(($X$5:$X$34&gt;0)*(($Z$5:$Z$34-($Z$5:$Z$34&gt;CA$4+4)*($Z$5:$Z$34-CA$4-4)-$Y$5:$Y$34-($Y$5:$Y$34&lt;CA$4)*(CA$4-$Y$5:$Y$34)+1)&gt;0)*($Z$5:$Z$34-($Z$5:$Z$34&gt;CA$4+4)*($Z$5:$Z$34-CA$4-4)-$Y$5:$Y$34-($Y$5:$Y$34&lt;CA$4)*(CA$4-$Y$5:$Y$34)+1)*$F$5:$F$34)*(Settings!$C$17="Lara")+SUMPRODUCT(($AA$5:$AA$34&gt;0)*(($AC$5:$AC$34-($AC$5:$AC$34&gt;CA$4+4)*($AC$5:$AC$34-CA$4-4)-$AB$5:$AB$34-($AB$5:$AB$34&lt;CA$4)*(CA$4-$AB$5:$AB$34)+1)&gt;0)*($AC$5:$AC$34-($AC$5:$AC$34&gt;CA$4+4)*($AC$5:$AC$34-CA$4-4)-$AB$5:$AB$34-($AB$5:$AB$34&lt;CA$4)*(CA$4-$AB$5:$AB$34)+1)*$F$5:$F$34)*(Settings!$C$18="Lara")+SUMPRODUCT(($AD$5:$AD$34&gt;0)*(($AF$5:$AF$34-($AF$5:$AF$34&gt;CA$4+4)*($AF$5:$AF$34-CA$4-4)-$AE$5:$AE$34-($AE$5:$AE$34&lt;CA$4)*(CA$4-$AE$5:$AE$34)+1)&gt;0)*($AF$5:$AF$34-($AF$5:$AF$34&gt;CA$4+4)*($AF$5:$AF$34-CA$4-4)-$AE$5:$AE$34-($AE$5:$AE$34&lt;CA$4)*(CA$4-$AE$5:$AE$34)+1)*$F$5:$F$34)*(Settings!$C$19="Lara"))/Settings!$C$5</f>
        <v/>
      </c>
      <c r="CB35" s="28">
        <f>(SUMPRODUCT(($I$5:$I$34&gt;0)*(($K$5:$K$34-($K$5:$K$34&gt;CB$4+4)*($K$5:$K$34-CB$4-4)-$J$5:$J$34-($J$5:$J$34&lt;CB$4)*(CB$4-$J$5:$J$34)+1)&gt;0)*($K$5:$K$34-($K$5:$K$34&gt;CB$4+4)*($K$5:$K$34-CB$4-4)-$J$5:$J$34-($J$5:$J$34&lt;CB$4)*(CB$4-$J$5:$J$34)+1)*$F$5:$F$34)*(Settings!$C$12="Lara")+SUMPRODUCT(($L$5:$L$34&gt;0)*(($N$5:$N$34-($N$5:$N$34&gt;CB$4+4)*($N$5:$N$34-CB$4-4)-$M$5:$M$34-($M$5:$M$34&lt;CB$4)*(CB$4-$M$5:$M$34)+1)&gt;0)*($N$5:$N$34-($N$5:$N$34&gt;CB$4+4)*($N$5:$N$34-CB$4-4)-$M$5:$M$34-($M$5:$M$34&lt;CB$4)*(CB$4-$M$5:$M$34)+1)*$F$5:$F$34)*(Settings!$C$13="Lara")+SUMPRODUCT(($O$5:$O$34&gt;0)*(($Q$5:$Q$34-($Q$5:$Q$34&gt;CB$4+4)*($Q$5:$Q$34-CB$4-4)-$P$5:$P$34-($P$5:$P$34&lt;CB$4)*(CB$4-$P$5:$P$34)+1)&gt;0)*($Q$5:$Q$34-($Q$5:$Q$34&gt;CB$4+4)*($Q$5:$Q$34-CB$4-4)-$P$5:$P$34-($P$5:$P$34&lt;CB$4)*(CB$4-$P$5:$P$34)+1)*$F$5:$F$34)*(Settings!$C$14="Lara")+SUMPRODUCT(($R$5:$R$34&gt;0)*(($T$5:$T$34-($T$5:$T$34&gt;CB$4+4)*($T$5:$T$34-CB$4-4)-$S$5:$S$34-($S$5:$S$34&lt;CB$4)*(CB$4-$S$5:$S$34)+1)&gt;0)*($T$5:$T$34-($T$5:$T$34&gt;CB$4+4)*($T$5:$T$34-CB$4-4)-$S$5:$S$34-($S$5:$S$34&lt;CB$4)*(CB$4-$S$5:$S$34)+1)*$F$5:$F$34)*(Settings!$C$15="Lara")+SUMPRODUCT(($U$5:$U$34&gt;0)*(($W$5:$W$34-($W$5:$W$34&gt;CB$4+4)*($W$5:$W$34-CB$4-4)-$V$5:$V$34-($V$5:$V$34&lt;CB$4)*(CB$4-$V$5:$V$34)+1)&gt;0)*($W$5:$W$34-($W$5:$W$34&gt;CB$4+4)*($W$5:$W$34-CB$4-4)-$V$5:$V$34-($V$5:$V$34&lt;CB$4)*(CB$4-$V$5:$V$34)+1)*$F$5:$F$34)*(Settings!$C$16="Lara")+SUMPRODUCT(($X$5:$X$34&gt;0)*(($Z$5:$Z$34-($Z$5:$Z$34&gt;CB$4+4)*($Z$5:$Z$34-CB$4-4)-$Y$5:$Y$34-($Y$5:$Y$34&lt;CB$4)*(CB$4-$Y$5:$Y$34)+1)&gt;0)*($Z$5:$Z$34-($Z$5:$Z$34&gt;CB$4+4)*($Z$5:$Z$34-CB$4-4)-$Y$5:$Y$34-($Y$5:$Y$34&lt;CB$4)*(CB$4-$Y$5:$Y$34)+1)*$F$5:$F$34)*(Settings!$C$17="Lara")+SUMPRODUCT(($AA$5:$AA$34&gt;0)*(($AC$5:$AC$34-($AC$5:$AC$34&gt;CB$4+4)*($AC$5:$AC$34-CB$4-4)-$AB$5:$AB$34-($AB$5:$AB$34&lt;CB$4)*(CB$4-$AB$5:$AB$34)+1)&gt;0)*($AC$5:$AC$34-($AC$5:$AC$34&gt;CB$4+4)*($AC$5:$AC$34-CB$4-4)-$AB$5:$AB$34-($AB$5:$AB$34&lt;CB$4)*(CB$4-$AB$5:$AB$34)+1)*$F$5:$F$34)*(Settings!$C$18="Lara")+SUMPRODUCT(($AD$5:$AD$34&gt;0)*(($AF$5:$AF$34-($AF$5:$AF$34&gt;CB$4+4)*($AF$5:$AF$34-CB$4-4)-$AE$5:$AE$34-($AE$5:$AE$34&lt;CB$4)*(CB$4-$AE$5:$AE$34)+1)&gt;0)*($AF$5:$AF$34-($AF$5:$AF$34&gt;CB$4+4)*($AF$5:$AF$34-CB$4-4)-$AE$5:$AE$34-($AE$5:$AE$34&lt;CB$4)*(CB$4-$AE$5:$AE$34)+1)*$F$5:$F$34)*(Settings!$C$19="Lara"))/Settings!$C$5</f>
        <v/>
      </c>
      <c r="CC35" s="28">
        <f>(SUMPRODUCT(($I$5:$I$34&gt;0)*(($K$5:$K$34-($K$5:$K$34&gt;CC$4+4)*($K$5:$K$34-CC$4-4)-$J$5:$J$34-($J$5:$J$34&lt;CC$4)*(CC$4-$J$5:$J$34)+1)&gt;0)*($K$5:$K$34-($K$5:$K$34&gt;CC$4+4)*($K$5:$K$34-CC$4-4)-$J$5:$J$34-($J$5:$J$34&lt;CC$4)*(CC$4-$J$5:$J$34)+1)*$F$5:$F$34)*(Settings!$C$12="Lara")+SUMPRODUCT(($L$5:$L$34&gt;0)*(($N$5:$N$34-($N$5:$N$34&gt;CC$4+4)*($N$5:$N$34-CC$4-4)-$M$5:$M$34-($M$5:$M$34&lt;CC$4)*(CC$4-$M$5:$M$34)+1)&gt;0)*($N$5:$N$34-($N$5:$N$34&gt;CC$4+4)*($N$5:$N$34-CC$4-4)-$M$5:$M$34-($M$5:$M$34&lt;CC$4)*(CC$4-$M$5:$M$34)+1)*$F$5:$F$34)*(Settings!$C$13="Lara")+SUMPRODUCT(($O$5:$O$34&gt;0)*(($Q$5:$Q$34-($Q$5:$Q$34&gt;CC$4+4)*($Q$5:$Q$34-CC$4-4)-$P$5:$P$34-($P$5:$P$34&lt;CC$4)*(CC$4-$P$5:$P$34)+1)&gt;0)*($Q$5:$Q$34-($Q$5:$Q$34&gt;CC$4+4)*($Q$5:$Q$34-CC$4-4)-$P$5:$P$34-($P$5:$P$34&lt;CC$4)*(CC$4-$P$5:$P$34)+1)*$F$5:$F$34)*(Settings!$C$14="Lara")+SUMPRODUCT(($R$5:$R$34&gt;0)*(($T$5:$T$34-($T$5:$T$34&gt;CC$4+4)*($T$5:$T$34-CC$4-4)-$S$5:$S$34-($S$5:$S$34&lt;CC$4)*(CC$4-$S$5:$S$34)+1)&gt;0)*($T$5:$T$34-($T$5:$T$34&gt;CC$4+4)*($T$5:$T$34-CC$4-4)-$S$5:$S$34-($S$5:$S$34&lt;CC$4)*(CC$4-$S$5:$S$34)+1)*$F$5:$F$34)*(Settings!$C$15="Lara")+SUMPRODUCT(($U$5:$U$34&gt;0)*(($W$5:$W$34-($W$5:$W$34&gt;CC$4+4)*($W$5:$W$34-CC$4-4)-$V$5:$V$34-($V$5:$V$34&lt;CC$4)*(CC$4-$V$5:$V$34)+1)&gt;0)*($W$5:$W$34-($W$5:$W$34&gt;CC$4+4)*($W$5:$W$34-CC$4-4)-$V$5:$V$34-($V$5:$V$34&lt;CC$4)*(CC$4-$V$5:$V$34)+1)*$F$5:$F$34)*(Settings!$C$16="Lara")+SUMPRODUCT(($X$5:$X$34&gt;0)*(($Z$5:$Z$34-($Z$5:$Z$34&gt;CC$4+4)*($Z$5:$Z$34-CC$4-4)-$Y$5:$Y$34-($Y$5:$Y$34&lt;CC$4)*(CC$4-$Y$5:$Y$34)+1)&gt;0)*($Z$5:$Z$34-($Z$5:$Z$34&gt;CC$4+4)*($Z$5:$Z$34-CC$4-4)-$Y$5:$Y$34-($Y$5:$Y$34&lt;CC$4)*(CC$4-$Y$5:$Y$34)+1)*$F$5:$F$34)*(Settings!$C$17="Lara")+SUMPRODUCT(($AA$5:$AA$34&gt;0)*(($AC$5:$AC$34-($AC$5:$AC$34&gt;CC$4+4)*($AC$5:$AC$34-CC$4-4)-$AB$5:$AB$34-($AB$5:$AB$34&lt;CC$4)*(CC$4-$AB$5:$AB$34)+1)&gt;0)*($AC$5:$AC$34-($AC$5:$AC$34&gt;CC$4+4)*($AC$5:$AC$34-CC$4-4)-$AB$5:$AB$34-($AB$5:$AB$34&lt;CC$4)*(CC$4-$AB$5:$AB$34)+1)*$F$5:$F$34)*(Settings!$C$18="Lara")+SUMPRODUCT(($AD$5:$AD$34&gt;0)*(($AF$5:$AF$34-($AF$5:$AF$34&gt;CC$4+4)*($AF$5:$AF$34-CC$4-4)-$AE$5:$AE$34-($AE$5:$AE$34&lt;CC$4)*(CC$4-$AE$5:$AE$34)+1)&gt;0)*($AF$5:$AF$34-($AF$5:$AF$34&gt;CC$4+4)*($AF$5:$AF$34-CC$4-4)-$AE$5:$AE$34-($AE$5:$AE$34&lt;CC$4)*(CC$4-$AE$5:$AE$34)+1)*$F$5:$F$34)*(Settings!$C$19="Lara"))/Settings!$C$5</f>
        <v/>
      </c>
      <c r="CD35" s="28">
        <f>(SUMPRODUCT(($I$5:$I$34&gt;0)*(($K$5:$K$34-($K$5:$K$34&gt;CD$4+4)*($K$5:$K$34-CD$4-4)-$J$5:$J$34-($J$5:$J$34&lt;CD$4)*(CD$4-$J$5:$J$34)+1)&gt;0)*($K$5:$K$34-($K$5:$K$34&gt;CD$4+4)*($K$5:$K$34-CD$4-4)-$J$5:$J$34-($J$5:$J$34&lt;CD$4)*(CD$4-$J$5:$J$34)+1)*$F$5:$F$34)*(Settings!$C$12="Lara")+SUMPRODUCT(($L$5:$L$34&gt;0)*(($N$5:$N$34-($N$5:$N$34&gt;CD$4+4)*($N$5:$N$34-CD$4-4)-$M$5:$M$34-($M$5:$M$34&lt;CD$4)*(CD$4-$M$5:$M$34)+1)&gt;0)*($N$5:$N$34-($N$5:$N$34&gt;CD$4+4)*($N$5:$N$34-CD$4-4)-$M$5:$M$34-($M$5:$M$34&lt;CD$4)*(CD$4-$M$5:$M$34)+1)*$F$5:$F$34)*(Settings!$C$13="Lara")+SUMPRODUCT(($O$5:$O$34&gt;0)*(($Q$5:$Q$34-($Q$5:$Q$34&gt;CD$4+4)*($Q$5:$Q$34-CD$4-4)-$P$5:$P$34-($P$5:$P$34&lt;CD$4)*(CD$4-$P$5:$P$34)+1)&gt;0)*($Q$5:$Q$34-($Q$5:$Q$34&gt;CD$4+4)*($Q$5:$Q$34-CD$4-4)-$P$5:$P$34-($P$5:$P$34&lt;CD$4)*(CD$4-$P$5:$P$34)+1)*$F$5:$F$34)*(Settings!$C$14="Lara")+SUMPRODUCT(($R$5:$R$34&gt;0)*(($T$5:$T$34-($T$5:$T$34&gt;CD$4+4)*($T$5:$T$34-CD$4-4)-$S$5:$S$34-($S$5:$S$34&lt;CD$4)*(CD$4-$S$5:$S$34)+1)&gt;0)*($T$5:$T$34-($T$5:$T$34&gt;CD$4+4)*($T$5:$T$34-CD$4-4)-$S$5:$S$34-($S$5:$S$34&lt;CD$4)*(CD$4-$S$5:$S$34)+1)*$F$5:$F$34)*(Settings!$C$15="Lara")+SUMPRODUCT(($U$5:$U$34&gt;0)*(($W$5:$W$34-($W$5:$W$34&gt;CD$4+4)*($W$5:$W$34-CD$4-4)-$V$5:$V$34-($V$5:$V$34&lt;CD$4)*(CD$4-$V$5:$V$34)+1)&gt;0)*($W$5:$W$34-($W$5:$W$34&gt;CD$4+4)*($W$5:$W$34-CD$4-4)-$V$5:$V$34-($V$5:$V$34&lt;CD$4)*(CD$4-$V$5:$V$34)+1)*$F$5:$F$34)*(Settings!$C$16="Lara")+SUMPRODUCT(($X$5:$X$34&gt;0)*(($Z$5:$Z$34-($Z$5:$Z$34&gt;CD$4+4)*($Z$5:$Z$34-CD$4-4)-$Y$5:$Y$34-($Y$5:$Y$34&lt;CD$4)*(CD$4-$Y$5:$Y$34)+1)&gt;0)*($Z$5:$Z$34-($Z$5:$Z$34&gt;CD$4+4)*($Z$5:$Z$34-CD$4-4)-$Y$5:$Y$34-($Y$5:$Y$34&lt;CD$4)*(CD$4-$Y$5:$Y$34)+1)*$F$5:$F$34)*(Settings!$C$17="Lara")+SUMPRODUCT(($AA$5:$AA$34&gt;0)*(($AC$5:$AC$34-($AC$5:$AC$34&gt;CD$4+4)*($AC$5:$AC$34-CD$4-4)-$AB$5:$AB$34-($AB$5:$AB$34&lt;CD$4)*(CD$4-$AB$5:$AB$34)+1)&gt;0)*($AC$5:$AC$34-($AC$5:$AC$34&gt;CD$4+4)*($AC$5:$AC$34-CD$4-4)-$AB$5:$AB$34-($AB$5:$AB$34&lt;CD$4)*(CD$4-$AB$5:$AB$34)+1)*$F$5:$F$34)*(Settings!$C$18="Lara")+SUMPRODUCT(($AD$5:$AD$34&gt;0)*(($AF$5:$AF$34-($AF$5:$AF$34&gt;CD$4+4)*($AF$5:$AF$34-CD$4-4)-$AE$5:$AE$34-($AE$5:$AE$34&lt;CD$4)*(CD$4-$AE$5:$AE$34)+1)&gt;0)*($AF$5:$AF$34-($AF$5:$AF$34&gt;CD$4+4)*($AF$5:$AF$34-CD$4-4)-$AE$5:$AE$34-($AE$5:$AE$34&lt;CD$4)*(CD$4-$AE$5:$AE$34)+1)*$F$5:$F$34)*(Settings!$C$19="Lara"))/Settings!$C$5</f>
        <v/>
      </c>
      <c r="CE35" s="28">
        <f>(SUMPRODUCT(($I$5:$I$34&gt;0)*(($K$5:$K$34-($K$5:$K$34&gt;CE$4+4)*($K$5:$K$34-CE$4-4)-$J$5:$J$34-($J$5:$J$34&lt;CE$4)*(CE$4-$J$5:$J$34)+1)&gt;0)*($K$5:$K$34-($K$5:$K$34&gt;CE$4+4)*($K$5:$K$34-CE$4-4)-$J$5:$J$34-($J$5:$J$34&lt;CE$4)*(CE$4-$J$5:$J$34)+1)*$F$5:$F$34)*(Settings!$C$12="Lara")+SUMPRODUCT(($L$5:$L$34&gt;0)*(($N$5:$N$34-($N$5:$N$34&gt;CE$4+4)*($N$5:$N$34-CE$4-4)-$M$5:$M$34-($M$5:$M$34&lt;CE$4)*(CE$4-$M$5:$M$34)+1)&gt;0)*($N$5:$N$34-($N$5:$N$34&gt;CE$4+4)*($N$5:$N$34-CE$4-4)-$M$5:$M$34-($M$5:$M$34&lt;CE$4)*(CE$4-$M$5:$M$34)+1)*$F$5:$F$34)*(Settings!$C$13="Lara")+SUMPRODUCT(($O$5:$O$34&gt;0)*(($Q$5:$Q$34-($Q$5:$Q$34&gt;CE$4+4)*($Q$5:$Q$34-CE$4-4)-$P$5:$P$34-($P$5:$P$34&lt;CE$4)*(CE$4-$P$5:$P$34)+1)&gt;0)*($Q$5:$Q$34-($Q$5:$Q$34&gt;CE$4+4)*($Q$5:$Q$34-CE$4-4)-$P$5:$P$34-($P$5:$P$34&lt;CE$4)*(CE$4-$P$5:$P$34)+1)*$F$5:$F$34)*(Settings!$C$14="Lara")+SUMPRODUCT(($R$5:$R$34&gt;0)*(($T$5:$T$34-($T$5:$T$34&gt;CE$4+4)*($T$5:$T$34-CE$4-4)-$S$5:$S$34-($S$5:$S$34&lt;CE$4)*(CE$4-$S$5:$S$34)+1)&gt;0)*($T$5:$T$34-($T$5:$T$34&gt;CE$4+4)*($T$5:$T$34-CE$4-4)-$S$5:$S$34-($S$5:$S$34&lt;CE$4)*(CE$4-$S$5:$S$34)+1)*$F$5:$F$34)*(Settings!$C$15="Lara")+SUMPRODUCT(($U$5:$U$34&gt;0)*(($W$5:$W$34-($W$5:$W$34&gt;CE$4+4)*($W$5:$W$34-CE$4-4)-$V$5:$V$34-($V$5:$V$34&lt;CE$4)*(CE$4-$V$5:$V$34)+1)&gt;0)*($W$5:$W$34-($W$5:$W$34&gt;CE$4+4)*($W$5:$W$34-CE$4-4)-$V$5:$V$34-($V$5:$V$34&lt;CE$4)*(CE$4-$V$5:$V$34)+1)*$F$5:$F$34)*(Settings!$C$16="Lara")+SUMPRODUCT(($X$5:$X$34&gt;0)*(($Z$5:$Z$34-($Z$5:$Z$34&gt;CE$4+4)*($Z$5:$Z$34-CE$4-4)-$Y$5:$Y$34-($Y$5:$Y$34&lt;CE$4)*(CE$4-$Y$5:$Y$34)+1)&gt;0)*($Z$5:$Z$34-($Z$5:$Z$34&gt;CE$4+4)*($Z$5:$Z$34-CE$4-4)-$Y$5:$Y$34-($Y$5:$Y$34&lt;CE$4)*(CE$4-$Y$5:$Y$34)+1)*$F$5:$F$34)*(Settings!$C$17="Lara")+SUMPRODUCT(($AA$5:$AA$34&gt;0)*(($AC$5:$AC$34-($AC$5:$AC$34&gt;CE$4+4)*($AC$5:$AC$34-CE$4-4)-$AB$5:$AB$34-($AB$5:$AB$34&lt;CE$4)*(CE$4-$AB$5:$AB$34)+1)&gt;0)*($AC$5:$AC$34-($AC$5:$AC$34&gt;CE$4+4)*($AC$5:$AC$34-CE$4-4)-$AB$5:$AB$34-($AB$5:$AB$34&lt;CE$4)*(CE$4-$AB$5:$AB$34)+1)*$F$5:$F$34)*(Settings!$C$18="Lara")+SUMPRODUCT(($AD$5:$AD$34&gt;0)*(($AF$5:$AF$34-($AF$5:$AF$34&gt;CE$4+4)*($AF$5:$AF$34-CE$4-4)-$AE$5:$AE$34-($AE$5:$AE$34&lt;CE$4)*(CE$4-$AE$5:$AE$34)+1)&gt;0)*($AF$5:$AF$34-($AF$5:$AF$34&gt;CE$4+4)*($AF$5:$AF$34-CE$4-4)-$AE$5:$AE$34-($AE$5:$AE$34&lt;CE$4)*(CE$4-$AE$5:$AE$34)+1)*$F$5:$F$34)*(Settings!$C$19="Lara"))/Settings!$C$5</f>
        <v/>
      </c>
      <c r="CF35" s="28">
        <f>(SUMPRODUCT(($I$5:$I$34&gt;0)*(($K$5:$K$34-($K$5:$K$34&gt;CF$4+4)*($K$5:$K$34-CF$4-4)-$J$5:$J$34-($J$5:$J$34&lt;CF$4)*(CF$4-$J$5:$J$34)+1)&gt;0)*($K$5:$K$34-($K$5:$K$34&gt;CF$4+4)*($K$5:$K$34-CF$4-4)-$J$5:$J$34-($J$5:$J$34&lt;CF$4)*(CF$4-$J$5:$J$34)+1)*$F$5:$F$34)*(Settings!$C$12="Lara")+SUMPRODUCT(($L$5:$L$34&gt;0)*(($N$5:$N$34-($N$5:$N$34&gt;CF$4+4)*($N$5:$N$34-CF$4-4)-$M$5:$M$34-($M$5:$M$34&lt;CF$4)*(CF$4-$M$5:$M$34)+1)&gt;0)*($N$5:$N$34-($N$5:$N$34&gt;CF$4+4)*($N$5:$N$34-CF$4-4)-$M$5:$M$34-($M$5:$M$34&lt;CF$4)*(CF$4-$M$5:$M$34)+1)*$F$5:$F$34)*(Settings!$C$13="Lara")+SUMPRODUCT(($O$5:$O$34&gt;0)*(($Q$5:$Q$34-($Q$5:$Q$34&gt;CF$4+4)*($Q$5:$Q$34-CF$4-4)-$P$5:$P$34-($P$5:$P$34&lt;CF$4)*(CF$4-$P$5:$P$34)+1)&gt;0)*($Q$5:$Q$34-($Q$5:$Q$34&gt;CF$4+4)*($Q$5:$Q$34-CF$4-4)-$P$5:$P$34-($P$5:$P$34&lt;CF$4)*(CF$4-$P$5:$P$34)+1)*$F$5:$F$34)*(Settings!$C$14="Lara")+SUMPRODUCT(($R$5:$R$34&gt;0)*(($T$5:$T$34-($T$5:$T$34&gt;CF$4+4)*($T$5:$T$34-CF$4-4)-$S$5:$S$34-($S$5:$S$34&lt;CF$4)*(CF$4-$S$5:$S$34)+1)&gt;0)*($T$5:$T$34-($T$5:$T$34&gt;CF$4+4)*($T$5:$T$34-CF$4-4)-$S$5:$S$34-($S$5:$S$34&lt;CF$4)*(CF$4-$S$5:$S$34)+1)*$F$5:$F$34)*(Settings!$C$15="Lara")+SUMPRODUCT(($U$5:$U$34&gt;0)*(($W$5:$W$34-($W$5:$W$34&gt;CF$4+4)*($W$5:$W$34-CF$4-4)-$V$5:$V$34-($V$5:$V$34&lt;CF$4)*(CF$4-$V$5:$V$34)+1)&gt;0)*($W$5:$W$34-($W$5:$W$34&gt;CF$4+4)*($W$5:$W$34-CF$4-4)-$V$5:$V$34-($V$5:$V$34&lt;CF$4)*(CF$4-$V$5:$V$34)+1)*$F$5:$F$34)*(Settings!$C$16="Lara")+SUMPRODUCT(($X$5:$X$34&gt;0)*(($Z$5:$Z$34-($Z$5:$Z$34&gt;CF$4+4)*($Z$5:$Z$34-CF$4-4)-$Y$5:$Y$34-($Y$5:$Y$34&lt;CF$4)*(CF$4-$Y$5:$Y$34)+1)&gt;0)*($Z$5:$Z$34-($Z$5:$Z$34&gt;CF$4+4)*($Z$5:$Z$34-CF$4-4)-$Y$5:$Y$34-($Y$5:$Y$34&lt;CF$4)*(CF$4-$Y$5:$Y$34)+1)*$F$5:$F$34)*(Settings!$C$17="Lara")+SUMPRODUCT(($AA$5:$AA$34&gt;0)*(($AC$5:$AC$34-($AC$5:$AC$34&gt;CF$4+4)*($AC$5:$AC$34-CF$4-4)-$AB$5:$AB$34-($AB$5:$AB$34&lt;CF$4)*(CF$4-$AB$5:$AB$34)+1)&gt;0)*($AC$5:$AC$34-($AC$5:$AC$34&gt;CF$4+4)*($AC$5:$AC$34-CF$4-4)-$AB$5:$AB$34-($AB$5:$AB$34&lt;CF$4)*(CF$4-$AB$5:$AB$34)+1)*$F$5:$F$34)*(Settings!$C$18="Lara")+SUMPRODUCT(($AD$5:$AD$34&gt;0)*(($AF$5:$AF$34-($AF$5:$AF$34&gt;CF$4+4)*($AF$5:$AF$34-CF$4-4)-$AE$5:$AE$34-($AE$5:$AE$34&lt;CF$4)*(CF$4-$AE$5:$AE$34)+1)&gt;0)*($AF$5:$AF$34-($AF$5:$AF$34&gt;CF$4+4)*($AF$5:$AF$34-CF$4-4)-$AE$5:$AE$34-($AE$5:$AE$34&lt;CF$4)*(CF$4-$AE$5:$AE$34)+1)*$F$5:$F$34)*(Settings!$C$19="Lara"))/Settings!$C$5</f>
        <v/>
      </c>
      <c r="CG35" s="28">
        <f>(SUMPRODUCT(($I$5:$I$34&gt;0)*(($K$5:$K$34-($K$5:$K$34&gt;CG$4+4)*($K$5:$K$34-CG$4-4)-$J$5:$J$34-($J$5:$J$34&lt;CG$4)*(CG$4-$J$5:$J$34)+1)&gt;0)*($K$5:$K$34-($K$5:$K$34&gt;CG$4+4)*($K$5:$K$34-CG$4-4)-$J$5:$J$34-($J$5:$J$34&lt;CG$4)*(CG$4-$J$5:$J$34)+1)*$F$5:$F$34)*(Settings!$C$12="Lara")+SUMPRODUCT(($L$5:$L$34&gt;0)*(($N$5:$N$34-($N$5:$N$34&gt;CG$4+4)*($N$5:$N$34-CG$4-4)-$M$5:$M$34-($M$5:$M$34&lt;CG$4)*(CG$4-$M$5:$M$34)+1)&gt;0)*($N$5:$N$34-($N$5:$N$34&gt;CG$4+4)*($N$5:$N$34-CG$4-4)-$M$5:$M$34-($M$5:$M$34&lt;CG$4)*(CG$4-$M$5:$M$34)+1)*$F$5:$F$34)*(Settings!$C$13="Lara")+SUMPRODUCT(($O$5:$O$34&gt;0)*(($Q$5:$Q$34-($Q$5:$Q$34&gt;CG$4+4)*($Q$5:$Q$34-CG$4-4)-$P$5:$P$34-($P$5:$P$34&lt;CG$4)*(CG$4-$P$5:$P$34)+1)&gt;0)*($Q$5:$Q$34-($Q$5:$Q$34&gt;CG$4+4)*($Q$5:$Q$34-CG$4-4)-$P$5:$P$34-($P$5:$P$34&lt;CG$4)*(CG$4-$P$5:$P$34)+1)*$F$5:$F$34)*(Settings!$C$14="Lara")+SUMPRODUCT(($R$5:$R$34&gt;0)*(($T$5:$T$34-($T$5:$T$34&gt;CG$4+4)*($T$5:$T$34-CG$4-4)-$S$5:$S$34-($S$5:$S$34&lt;CG$4)*(CG$4-$S$5:$S$34)+1)&gt;0)*($T$5:$T$34-($T$5:$T$34&gt;CG$4+4)*($T$5:$T$34-CG$4-4)-$S$5:$S$34-($S$5:$S$34&lt;CG$4)*(CG$4-$S$5:$S$34)+1)*$F$5:$F$34)*(Settings!$C$15="Lara")+SUMPRODUCT(($U$5:$U$34&gt;0)*(($W$5:$W$34-($W$5:$W$34&gt;CG$4+4)*($W$5:$W$34-CG$4-4)-$V$5:$V$34-($V$5:$V$34&lt;CG$4)*(CG$4-$V$5:$V$34)+1)&gt;0)*($W$5:$W$34-($W$5:$W$34&gt;CG$4+4)*($W$5:$W$34-CG$4-4)-$V$5:$V$34-($V$5:$V$34&lt;CG$4)*(CG$4-$V$5:$V$34)+1)*$F$5:$F$34)*(Settings!$C$16="Lara")+SUMPRODUCT(($X$5:$X$34&gt;0)*(($Z$5:$Z$34-($Z$5:$Z$34&gt;CG$4+4)*($Z$5:$Z$34-CG$4-4)-$Y$5:$Y$34-($Y$5:$Y$34&lt;CG$4)*(CG$4-$Y$5:$Y$34)+1)&gt;0)*($Z$5:$Z$34-($Z$5:$Z$34&gt;CG$4+4)*($Z$5:$Z$34-CG$4-4)-$Y$5:$Y$34-($Y$5:$Y$34&lt;CG$4)*(CG$4-$Y$5:$Y$34)+1)*$F$5:$F$34)*(Settings!$C$17="Lara")+SUMPRODUCT(($AA$5:$AA$34&gt;0)*(($AC$5:$AC$34-($AC$5:$AC$34&gt;CG$4+4)*($AC$5:$AC$34-CG$4-4)-$AB$5:$AB$34-($AB$5:$AB$34&lt;CG$4)*(CG$4-$AB$5:$AB$34)+1)&gt;0)*($AC$5:$AC$34-($AC$5:$AC$34&gt;CG$4+4)*($AC$5:$AC$34-CG$4-4)-$AB$5:$AB$34-($AB$5:$AB$34&lt;CG$4)*(CG$4-$AB$5:$AB$34)+1)*$F$5:$F$34)*(Settings!$C$18="Lara")+SUMPRODUCT(($AD$5:$AD$34&gt;0)*(($AF$5:$AF$34-($AF$5:$AF$34&gt;CG$4+4)*($AF$5:$AF$34-CG$4-4)-$AE$5:$AE$34-($AE$5:$AE$34&lt;CG$4)*(CG$4-$AE$5:$AE$34)+1)&gt;0)*($AF$5:$AF$34-($AF$5:$AF$34&gt;CG$4+4)*($AF$5:$AF$34-CG$4-4)-$AE$5:$AE$34-($AE$5:$AE$34&lt;CG$4)*(CG$4-$AE$5:$AE$34)+1)*$F$5:$F$34)*(Settings!$C$19="Lara"))/Settings!$C$5</f>
        <v/>
      </c>
      <c r="CH35" s="28">
        <f>(SUMPRODUCT(($I$5:$I$34&gt;0)*(($K$5:$K$34-($K$5:$K$34&gt;CH$4+4)*($K$5:$K$34-CH$4-4)-$J$5:$J$34-($J$5:$J$34&lt;CH$4)*(CH$4-$J$5:$J$34)+1)&gt;0)*($K$5:$K$34-($K$5:$K$34&gt;CH$4+4)*($K$5:$K$34-CH$4-4)-$J$5:$J$34-($J$5:$J$34&lt;CH$4)*(CH$4-$J$5:$J$34)+1)*$F$5:$F$34)*(Settings!$C$12="Lara")+SUMPRODUCT(($L$5:$L$34&gt;0)*(($N$5:$N$34-($N$5:$N$34&gt;CH$4+4)*($N$5:$N$34-CH$4-4)-$M$5:$M$34-($M$5:$M$34&lt;CH$4)*(CH$4-$M$5:$M$34)+1)&gt;0)*($N$5:$N$34-($N$5:$N$34&gt;CH$4+4)*($N$5:$N$34-CH$4-4)-$M$5:$M$34-($M$5:$M$34&lt;CH$4)*(CH$4-$M$5:$M$34)+1)*$F$5:$F$34)*(Settings!$C$13="Lara")+SUMPRODUCT(($O$5:$O$34&gt;0)*(($Q$5:$Q$34-($Q$5:$Q$34&gt;CH$4+4)*($Q$5:$Q$34-CH$4-4)-$P$5:$P$34-($P$5:$P$34&lt;CH$4)*(CH$4-$P$5:$P$34)+1)&gt;0)*($Q$5:$Q$34-($Q$5:$Q$34&gt;CH$4+4)*($Q$5:$Q$34-CH$4-4)-$P$5:$P$34-($P$5:$P$34&lt;CH$4)*(CH$4-$P$5:$P$34)+1)*$F$5:$F$34)*(Settings!$C$14="Lara")+SUMPRODUCT(($R$5:$R$34&gt;0)*(($T$5:$T$34-($T$5:$T$34&gt;CH$4+4)*($T$5:$T$34-CH$4-4)-$S$5:$S$34-($S$5:$S$34&lt;CH$4)*(CH$4-$S$5:$S$34)+1)&gt;0)*($T$5:$T$34-($T$5:$T$34&gt;CH$4+4)*($T$5:$T$34-CH$4-4)-$S$5:$S$34-($S$5:$S$34&lt;CH$4)*(CH$4-$S$5:$S$34)+1)*$F$5:$F$34)*(Settings!$C$15="Lara")+SUMPRODUCT(($U$5:$U$34&gt;0)*(($W$5:$W$34-($W$5:$W$34&gt;CH$4+4)*($W$5:$W$34-CH$4-4)-$V$5:$V$34-($V$5:$V$34&lt;CH$4)*(CH$4-$V$5:$V$34)+1)&gt;0)*($W$5:$W$34-($W$5:$W$34&gt;CH$4+4)*($W$5:$W$34-CH$4-4)-$V$5:$V$34-($V$5:$V$34&lt;CH$4)*(CH$4-$V$5:$V$34)+1)*$F$5:$F$34)*(Settings!$C$16="Lara")+SUMPRODUCT(($X$5:$X$34&gt;0)*(($Z$5:$Z$34-($Z$5:$Z$34&gt;CH$4+4)*($Z$5:$Z$34-CH$4-4)-$Y$5:$Y$34-($Y$5:$Y$34&lt;CH$4)*(CH$4-$Y$5:$Y$34)+1)&gt;0)*($Z$5:$Z$34-($Z$5:$Z$34&gt;CH$4+4)*($Z$5:$Z$34-CH$4-4)-$Y$5:$Y$34-($Y$5:$Y$34&lt;CH$4)*(CH$4-$Y$5:$Y$34)+1)*$F$5:$F$34)*(Settings!$C$17="Lara")+SUMPRODUCT(($AA$5:$AA$34&gt;0)*(($AC$5:$AC$34-($AC$5:$AC$34&gt;CH$4+4)*($AC$5:$AC$34-CH$4-4)-$AB$5:$AB$34-($AB$5:$AB$34&lt;CH$4)*(CH$4-$AB$5:$AB$34)+1)&gt;0)*($AC$5:$AC$34-($AC$5:$AC$34&gt;CH$4+4)*($AC$5:$AC$34-CH$4-4)-$AB$5:$AB$34-($AB$5:$AB$34&lt;CH$4)*(CH$4-$AB$5:$AB$34)+1)*$F$5:$F$34)*(Settings!$C$18="Lara")+SUMPRODUCT(($AD$5:$AD$34&gt;0)*(($AF$5:$AF$34-($AF$5:$AF$34&gt;CH$4+4)*($AF$5:$AF$34-CH$4-4)-$AE$5:$AE$34-($AE$5:$AE$34&lt;CH$4)*(CH$4-$AE$5:$AE$34)+1)&gt;0)*($AF$5:$AF$34-($AF$5:$AF$34&gt;CH$4+4)*($AF$5:$AF$34-CH$4-4)-$AE$5:$AE$34-($AE$5:$AE$34&lt;CH$4)*(CH$4-$AE$5:$AE$34)+1)*$F$5:$F$34)*(Settings!$C$19="Lara"))/Settings!$C$5</f>
        <v/>
      </c>
      <c r="CI35" s="28">
        <f>(SUMPRODUCT(($I$5:$I$34&gt;0)*(($K$5:$K$34-($K$5:$K$34&gt;CI$4+4)*($K$5:$K$34-CI$4-4)-$J$5:$J$34-($J$5:$J$34&lt;CI$4)*(CI$4-$J$5:$J$34)+1)&gt;0)*($K$5:$K$34-($K$5:$K$34&gt;CI$4+4)*($K$5:$K$34-CI$4-4)-$J$5:$J$34-($J$5:$J$34&lt;CI$4)*(CI$4-$J$5:$J$34)+1)*$F$5:$F$34)*(Settings!$C$12="Lara")+SUMPRODUCT(($L$5:$L$34&gt;0)*(($N$5:$N$34-($N$5:$N$34&gt;CI$4+4)*($N$5:$N$34-CI$4-4)-$M$5:$M$34-($M$5:$M$34&lt;CI$4)*(CI$4-$M$5:$M$34)+1)&gt;0)*($N$5:$N$34-($N$5:$N$34&gt;CI$4+4)*($N$5:$N$34-CI$4-4)-$M$5:$M$34-($M$5:$M$34&lt;CI$4)*(CI$4-$M$5:$M$34)+1)*$F$5:$F$34)*(Settings!$C$13="Lara")+SUMPRODUCT(($O$5:$O$34&gt;0)*(($Q$5:$Q$34-($Q$5:$Q$34&gt;CI$4+4)*($Q$5:$Q$34-CI$4-4)-$P$5:$P$34-($P$5:$P$34&lt;CI$4)*(CI$4-$P$5:$P$34)+1)&gt;0)*($Q$5:$Q$34-($Q$5:$Q$34&gt;CI$4+4)*($Q$5:$Q$34-CI$4-4)-$P$5:$P$34-($P$5:$P$34&lt;CI$4)*(CI$4-$P$5:$P$34)+1)*$F$5:$F$34)*(Settings!$C$14="Lara")+SUMPRODUCT(($R$5:$R$34&gt;0)*(($T$5:$T$34-($T$5:$T$34&gt;CI$4+4)*($T$5:$T$34-CI$4-4)-$S$5:$S$34-($S$5:$S$34&lt;CI$4)*(CI$4-$S$5:$S$34)+1)&gt;0)*($T$5:$T$34-($T$5:$T$34&gt;CI$4+4)*($T$5:$T$34-CI$4-4)-$S$5:$S$34-($S$5:$S$34&lt;CI$4)*(CI$4-$S$5:$S$34)+1)*$F$5:$F$34)*(Settings!$C$15="Lara")+SUMPRODUCT(($U$5:$U$34&gt;0)*(($W$5:$W$34-($W$5:$W$34&gt;CI$4+4)*($W$5:$W$34-CI$4-4)-$V$5:$V$34-($V$5:$V$34&lt;CI$4)*(CI$4-$V$5:$V$34)+1)&gt;0)*($W$5:$W$34-($W$5:$W$34&gt;CI$4+4)*($W$5:$W$34-CI$4-4)-$V$5:$V$34-($V$5:$V$34&lt;CI$4)*(CI$4-$V$5:$V$34)+1)*$F$5:$F$34)*(Settings!$C$16="Lara")+SUMPRODUCT(($X$5:$X$34&gt;0)*(($Z$5:$Z$34-($Z$5:$Z$34&gt;CI$4+4)*($Z$5:$Z$34-CI$4-4)-$Y$5:$Y$34-($Y$5:$Y$34&lt;CI$4)*(CI$4-$Y$5:$Y$34)+1)&gt;0)*($Z$5:$Z$34-($Z$5:$Z$34&gt;CI$4+4)*($Z$5:$Z$34-CI$4-4)-$Y$5:$Y$34-($Y$5:$Y$34&lt;CI$4)*(CI$4-$Y$5:$Y$34)+1)*$F$5:$F$34)*(Settings!$C$17="Lara")+SUMPRODUCT(($AA$5:$AA$34&gt;0)*(($AC$5:$AC$34-($AC$5:$AC$34&gt;CI$4+4)*($AC$5:$AC$34-CI$4-4)-$AB$5:$AB$34-($AB$5:$AB$34&lt;CI$4)*(CI$4-$AB$5:$AB$34)+1)&gt;0)*($AC$5:$AC$34-($AC$5:$AC$34&gt;CI$4+4)*($AC$5:$AC$34-CI$4-4)-$AB$5:$AB$34-($AB$5:$AB$34&lt;CI$4)*(CI$4-$AB$5:$AB$34)+1)*$F$5:$F$34)*(Settings!$C$18="Lara")+SUMPRODUCT(($AD$5:$AD$34&gt;0)*(($AF$5:$AF$34-($AF$5:$AF$34&gt;CI$4+4)*($AF$5:$AF$34-CI$4-4)-$AE$5:$AE$34-($AE$5:$AE$34&lt;CI$4)*(CI$4-$AE$5:$AE$34)+1)&gt;0)*($AF$5:$AF$34-($AF$5:$AF$34&gt;CI$4+4)*($AF$5:$AF$34-CI$4-4)-$AE$5:$AE$34-($AE$5:$AE$34&lt;CI$4)*(CI$4-$AE$5:$AE$34)+1)*$F$5:$F$34)*(Settings!$C$19="Lara"))/Settings!$C$5</f>
        <v/>
      </c>
      <c r="CJ35" s="28">
        <f>(SUMPRODUCT(($I$5:$I$34&gt;0)*(($K$5:$K$34-($K$5:$K$34&gt;CJ$4+4)*($K$5:$K$34-CJ$4-4)-$J$5:$J$34-($J$5:$J$34&lt;CJ$4)*(CJ$4-$J$5:$J$34)+1)&gt;0)*($K$5:$K$34-($K$5:$K$34&gt;CJ$4+4)*($K$5:$K$34-CJ$4-4)-$J$5:$J$34-($J$5:$J$34&lt;CJ$4)*(CJ$4-$J$5:$J$34)+1)*$F$5:$F$34)*(Settings!$C$12="Lara")+SUMPRODUCT(($L$5:$L$34&gt;0)*(($N$5:$N$34-($N$5:$N$34&gt;CJ$4+4)*($N$5:$N$34-CJ$4-4)-$M$5:$M$34-($M$5:$M$34&lt;CJ$4)*(CJ$4-$M$5:$M$34)+1)&gt;0)*($N$5:$N$34-($N$5:$N$34&gt;CJ$4+4)*($N$5:$N$34-CJ$4-4)-$M$5:$M$34-($M$5:$M$34&lt;CJ$4)*(CJ$4-$M$5:$M$34)+1)*$F$5:$F$34)*(Settings!$C$13="Lara")+SUMPRODUCT(($O$5:$O$34&gt;0)*(($Q$5:$Q$34-($Q$5:$Q$34&gt;CJ$4+4)*($Q$5:$Q$34-CJ$4-4)-$P$5:$P$34-($P$5:$P$34&lt;CJ$4)*(CJ$4-$P$5:$P$34)+1)&gt;0)*($Q$5:$Q$34-($Q$5:$Q$34&gt;CJ$4+4)*($Q$5:$Q$34-CJ$4-4)-$P$5:$P$34-($P$5:$P$34&lt;CJ$4)*(CJ$4-$P$5:$P$34)+1)*$F$5:$F$34)*(Settings!$C$14="Lara")+SUMPRODUCT(($R$5:$R$34&gt;0)*(($T$5:$T$34-($T$5:$T$34&gt;CJ$4+4)*($T$5:$T$34-CJ$4-4)-$S$5:$S$34-($S$5:$S$34&lt;CJ$4)*(CJ$4-$S$5:$S$34)+1)&gt;0)*($T$5:$T$34-($T$5:$T$34&gt;CJ$4+4)*($T$5:$T$34-CJ$4-4)-$S$5:$S$34-($S$5:$S$34&lt;CJ$4)*(CJ$4-$S$5:$S$34)+1)*$F$5:$F$34)*(Settings!$C$15="Lara")+SUMPRODUCT(($U$5:$U$34&gt;0)*(($W$5:$W$34-($W$5:$W$34&gt;CJ$4+4)*($W$5:$W$34-CJ$4-4)-$V$5:$V$34-($V$5:$V$34&lt;CJ$4)*(CJ$4-$V$5:$V$34)+1)&gt;0)*($W$5:$W$34-($W$5:$W$34&gt;CJ$4+4)*($W$5:$W$34-CJ$4-4)-$V$5:$V$34-($V$5:$V$34&lt;CJ$4)*(CJ$4-$V$5:$V$34)+1)*$F$5:$F$34)*(Settings!$C$16="Lara")+SUMPRODUCT(($X$5:$X$34&gt;0)*(($Z$5:$Z$34-($Z$5:$Z$34&gt;CJ$4+4)*($Z$5:$Z$34-CJ$4-4)-$Y$5:$Y$34-($Y$5:$Y$34&lt;CJ$4)*(CJ$4-$Y$5:$Y$34)+1)&gt;0)*($Z$5:$Z$34-($Z$5:$Z$34&gt;CJ$4+4)*($Z$5:$Z$34-CJ$4-4)-$Y$5:$Y$34-($Y$5:$Y$34&lt;CJ$4)*(CJ$4-$Y$5:$Y$34)+1)*$F$5:$F$34)*(Settings!$C$17="Lara")+SUMPRODUCT(($AA$5:$AA$34&gt;0)*(($AC$5:$AC$34-($AC$5:$AC$34&gt;CJ$4+4)*($AC$5:$AC$34-CJ$4-4)-$AB$5:$AB$34-($AB$5:$AB$34&lt;CJ$4)*(CJ$4-$AB$5:$AB$34)+1)&gt;0)*($AC$5:$AC$34-($AC$5:$AC$34&gt;CJ$4+4)*($AC$5:$AC$34-CJ$4-4)-$AB$5:$AB$34-($AB$5:$AB$34&lt;CJ$4)*(CJ$4-$AB$5:$AB$34)+1)*$F$5:$F$34)*(Settings!$C$18="Lara")+SUMPRODUCT(($AD$5:$AD$34&gt;0)*(($AF$5:$AF$34-($AF$5:$AF$34&gt;CJ$4+4)*($AF$5:$AF$34-CJ$4-4)-$AE$5:$AE$34-($AE$5:$AE$34&lt;CJ$4)*(CJ$4-$AE$5:$AE$34)+1)&gt;0)*($AF$5:$AF$34-($AF$5:$AF$34&gt;CJ$4+4)*($AF$5:$AF$34-CJ$4-4)-$AE$5:$AE$34-($AE$5:$AE$34&lt;CJ$4)*(CJ$4-$AE$5:$AE$34)+1)*$F$5:$F$34)*(Settings!$C$19="Lara"))/Settings!$C$5</f>
        <v/>
      </c>
      <c r="CK35" s="28">
        <f>(SUMPRODUCT(($I$5:$I$34&gt;0)*(($K$5:$K$34-($K$5:$K$34&gt;CK$4+4)*($K$5:$K$34-CK$4-4)-$J$5:$J$34-($J$5:$J$34&lt;CK$4)*(CK$4-$J$5:$J$34)+1)&gt;0)*($K$5:$K$34-($K$5:$K$34&gt;CK$4+4)*($K$5:$K$34-CK$4-4)-$J$5:$J$34-($J$5:$J$34&lt;CK$4)*(CK$4-$J$5:$J$34)+1)*$F$5:$F$34)*(Settings!$C$12="Lara")+SUMPRODUCT(($L$5:$L$34&gt;0)*(($N$5:$N$34-($N$5:$N$34&gt;CK$4+4)*($N$5:$N$34-CK$4-4)-$M$5:$M$34-($M$5:$M$34&lt;CK$4)*(CK$4-$M$5:$M$34)+1)&gt;0)*($N$5:$N$34-($N$5:$N$34&gt;CK$4+4)*($N$5:$N$34-CK$4-4)-$M$5:$M$34-($M$5:$M$34&lt;CK$4)*(CK$4-$M$5:$M$34)+1)*$F$5:$F$34)*(Settings!$C$13="Lara")+SUMPRODUCT(($O$5:$O$34&gt;0)*(($Q$5:$Q$34-($Q$5:$Q$34&gt;CK$4+4)*($Q$5:$Q$34-CK$4-4)-$P$5:$P$34-($P$5:$P$34&lt;CK$4)*(CK$4-$P$5:$P$34)+1)&gt;0)*($Q$5:$Q$34-($Q$5:$Q$34&gt;CK$4+4)*($Q$5:$Q$34-CK$4-4)-$P$5:$P$34-($P$5:$P$34&lt;CK$4)*(CK$4-$P$5:$P$34)+1)*$F$5:$F$34)*(Settings!$C$14="Lara")+SUMPRODUCT(($R$5:$R$34&gt;0)*(($T$5:$T$34-($T$5:$T$34&gt;CK$4+4)*($T$5:$T$34-CK$4-4)-$S$5:$S$34-($S$5:$S$34&lt;CK$4)*(CK$4-$S$5:$S$34)+1)&gt;0)*($T$5:$T$34-($T$5:$T$34&gt;CK$4+4)*($T$5:$T$34-CK$4-4)-$S$5:$S$34-($S$5:$S$34&lt;CK$4)*(CK$4-$S$5:$S$34)+1)*$F$5:$F$34)*(Settings!$C$15="Lara")+SUMPRODUCT(($U$5:$U$34&gt;0)*(($W$5:$W$34-($W$5:$W$34&gt;CK$4+4)*($W$5:$W$34-CK$4-4)-$V$5:$V$34-($V$5:$V$34&lt;CK$4)*(CK$4-$V$5:$V$34)+1)&gt;0)*($W$5:$W$34-($W$5:$W$34&gt;CK$4+4)*($W$5:$W$34-CK$4-4)-$V$5:$V$34-($V$5:$V$34&lt;CK$4)*(CK$4-$V$5:$V$34)+1)*$F$5:$F$34)*(Settings!$C$16="Lara")+SUMPRODUCT(($X$5:$X$34&gt;0)*(($Z$5:$Z$34-($Z$5:$Z$34&gt;CK$4+4)*($Z$5:$Z$34-CK$4-4)-$Y$5:$Y$34-($Y$5:$Y$34&lt;CK$4)*(CK$4-$Y$5:$Y$34)+1)&gt;0)*($Z$5:$Z$34-($Z$5:$Z$34&gt;CK$4+4)*($Z$5:$Z$34-CK$4-4)-$Y$5:$Y$34-($Y$5:$Y$34&lt;CK$4)*(CK$4-$Y$5:$Y$34)+1)*$F$5:$F$34)*(Settings!$C$17="Lara")+SUMPRODUCT(($AA$5:$AA$34&gt;0)*(($AC$5:$AC$34-($AC$5:$AC$34&gt;CK$4+4)*($AC$5:$AC$34-CK$4-4)-$AB$5:$AB$34-($AB$5:$AB$34&lt;CK$4)*(CK$4-$AB$5:$AB$34)+1)&gt;0)*($AC$5:$AC$34-($AC$5:$AC$34&gt;CK$4+4)*($AC$5:$AC$34-CK$4-4)-$AB$5:$AB$34-($AB$5:$AB$34&lt;CK$4)*(CK$4-$AB$5:$AB$34)+1)*$F$5:$F$34)*(Settings!$C$18="Lara")+SUMPRODUCT(($AD$5:$AD$34&gt;0)*(($AF$5:$AF$34-($AF$5:$AF$34&gt;CK$4+4)*($AF$5:$AF$34-CK$4-4)-$AE$5:$AE$34-($AE$5:$AE$34&lt;CK$4)*(CK$4-$AE$5:$AE$34)+1)&gt;0)*($AF$5:$AF$34-($AF$5:$AF$34&gt;CK$4+4)*($AF$5:$AF$34-CK$4-4)-$AE$5:$AE$34-($AE$5:$AE$34&lt;CK$4)*(CK$4-$AE$5:$AE$34)+1)*$F$5:$F$34)*(Settings!$C$19="Lara"))/Settings!$C$5</f>
        <v/>
      </c>
      <c r="CL35" s="28">
        <f>(SUMPRODUCT(($I$5:$I$34&gt;0)*(($K$5:$K$34-($K$5:$K$34&gt;CL$4+4)*($K$5:$K$34-CL$4-4)-$J$5:$J$34-($J$5:$J$34&lt;CL$4)*(CL$4-$J$5:$J$34)+1)&gt;0)*($K$5:$K$34-($K$5:$K$34&gt;CL$4+4)*($K$5:$K$34-CL$4-4)-$J$5:$J$34-($J$5:$J$34&lt;CL$4)*(CL$4-$J$5:$J$34)+1)*$F$5:$F$34)*(Settings!$C$12="Lara")+SUMPRODUCT(($L$5:$L$34&gt;0)*(($N$5:$N$34-($N$5:$N$34&gt;CL$4+4)*($N$5:$N$34-CL$4-4)-$M$5:$M$34-($M$5:$M$34&lt;CL$4)*(CL$4-$M$5:$M$34)+1)&gt;0)*($N$5:$N$34-($N$5:$N$34&gt;CL$4+4)*($N$5:$N$34-CL$4-4)-$M$5:$M$34-($M$5:$M$34&lt;CL$4)*(CL$4-$M$5:$M$34)+1)*$F$5:$F$34)*(Settings!$C$13="Lara")+SUMPRODUCT(($O$5:$O$34&gt;0)*(($Q$5:$Q$34-($Q$5:$Q$34&gt;CL$4+4)*($Q$5:$Q$34-CL$4-4)-$P$5:$P$34-($P$5:$P$34&lt;CL$4)*(CL$4-$P$5:$P$34)+1)&gt;0)*($Q$5:$Q$34-($Q$5:$Q$34&gt;CL$4+4)*($Q$5:$Q$34-CL$4-4)-$P$5:$P$34-($P$5:$P$34&lt;CL$4)*(CL$4-$P$5:$P$34)+1)*$F$5:$F$34)*(Settings!$C$14="Lara")+SUMPRODUCT(($R$5:$R$34&gt;0)*(($T$5:$T$34-($T$5:$T$34&gt;CL$4+4)*($T$5:$T$34-CL$4-4)-$S$5:$S$34-($S$5:$S$34&lt;CL$4)*(CL$4-$S$5:$S$34)+1)&gt;0)*($T$5:$T$34-($T$5:$T$34&gt;CL$4+4)*($T$5:$T$34-CL$4-4)-$S$5:$S$34-($S$5:$S$34&lt;CL$4)*(CL$4-$S$5:$S$34)+1)*$F$5:$F$34)*(Settings!$C$15="Lara")+SUMPRODUCT(($U$5:$U$34&gt;0)*(($W$5:$W$34-($W$5:$W$34&gt;CL$4+4)*($W$5:$W$34-CL$4-4)-$V$5:$V$34-($V$5:$V$34&lt;CL$4)*(CL$4-$V$5:$V$34)+1)&gt;0)*($W$5:$W$34-($W$5:$W$34&gt;CL$4+4)*($W$5:$W$34-CL$4-4)-$V$5:$V$34-($V$5:$V$34&lt;CL$4)*(CL$4-$V$5:$V$34)+1)*$F$5:$F$34)*(Settings!$C$16="Lara")+SUMPRODUCT(($X$5:$X$34&gt;0)*(($Z$5:$Z$34-($Z$5:$Z$34&gt;CL$4+4)*($Z$5:$Z$34-CL$4-4)-$Y$5:$Y$34-($Y$5:$Y$34&lt;CL$4)*(CL$4-$Y$5:$Y$34)+1)&gt;0)*($Z$5:$Z$34-($Z$5:$Z$34&gt;CL$4+4)*($Z$5:$Z$34-CL$4-4)-$Y$5:$Y$34-($Y$5:$Y$34&lt;CL$4)*(CL$4-$Y$5:$Y$34)+1)*$F$5:$F$34)*(Settings!$C$17="Lara")+SUMPRODUCT(($AA$5:$AA$34&gt;0)*(($AC$5:$AC$34-($AC$5:$AC$34&gt;CL$4+4)*($AC$5:$AC$34-CL$4-4)-$AB$5:$AB$34-($AB$5:$AB$34&lt;CL$4)*(CL$4-$AB$5:$AB$34)+1)&gt;0)*($AC$5:$AC$34-($AC$5:$AC$34&gt;CL$4+4)*($AC$5:$AC$34-CL$4-4)-$AB$5:$AB$34-($AB$5:$AB$34&lt;CL$4)*(CL$4-$AB$5:$AB$34)+1)*$F$5:$F$34)*(Settings!$C$18="Lara")+SUMPRODUCT(($AD$5:$AD$34&gt;0)*(($AF$5:$AF$34-($AF$5:$AF$34&gt;CL$4+4)*($AF$5:$AF$34-CL$4-4)-$AE$5:$AE$34-($AE$5:$AE$34&lt;CL$4)*(CL$4-$AE$5:$AE$34)+1)&gt;0)*($AF$5:$AF$34-($AF$5:$AF$34&gt;CL$4+4)*($AF$5:$AF$34-CL$4-4)-$AE$5:$AE$34-($AE$5:$AE$34&lt;CL$4)*(CL$4-$AE$5:$AE$34)+1)*$F$5:$F$34)*(Settings!$C$19="Lara"))/Settings!$C$5</f>
        <v/>
      </c>
      <c r="CM35" s="28">
        <f>(SUMPRODUCT(($I$5:$I$34&gt;0)*(($K$5:$K$34-($K$5:$K$34&gt;CM$4+4)*($K$5:$K$34-CM$4-4)-$J$5:$J$34-($J$5:$J$34&lt;CM$4)*(CM$4-$J$5:$J$34)+1)&gt;0)*($K$5:$K$34-($K$5:$K$34&gt;CM$4+4)*($K$5:$K$34-CM$4-4)-$J$5:$J$34-($J$5:$J$34&lt;CM$4)*(CM$4-$J$5:$J$34)+1)*$F$5:$F$34)*(Settings!$C$12="Lara")+SUMPRODUCT(($L$5:$L$34&gt;0)*(($N$5:$N$34-($N$5:$N$34&gt;CM$4+4)*($N$5:$N$34-CM$4-4)-$M$5:$M$34-($M$5:$M$34&lt;CM$4)*(CM$4-$M$5:$M$34)+1)&gt;0)*($N$5:$N$34-($N$5:$N$34&gt;CM$4+4)*($N$5:$N$34-CM$4-4)-$M$5:$M$34-($M$5:$M$34&lt;CM$4)*(CM$4-$M$5:$M$34)+1)*$F$5:$F$34)*(Settings!$C$13="Lara")+SUMPRODUCT(($O$5:$O$34&gt;0)*(($Q$5:$Q$34-($Q$5:$Q$34&gt;CM$4+4)*($Q$5:$Q$34-CM$4-4)-$P$5:$P$34-($P$5:$P$34&lt;CM$4)*(CM$4-$P$5:$P$34)+1)&gt;0)*($Q$5:$Q$34-($Q$5:$Q$34&gt;CM$4+4)*($Q$5:$Q$34-CM$4-4)-$P$5:$P$34-($P$5:$P$34&lt;CM$4)*(CM$4-$P$5:$P$34)+1)*$F$5:$F$34)*(Settings!$C$14="Lara")+SUMPRODUCT(($R$5:$R$34&gt;0)*(($T$5:$T$34-($T$5:$T$34&gt;CM$4+4)*($T$5:$T$34-CM$4-4)-$S$5:$S$34-($S$5:$S$34&lt;CM$4)*(CM$4-$S$5:$S$34)+1)&gt;0)*($T$5:$T$34-($T$5:$T$34&gt;CM$4+4)*($T$5:$T$34-CM$4-4)-$S$5:$S$34-($S$5:$S$34&lt;CM$4)*(CM$4-$S$5:$S$34)+1)*$F$5:$F$34)*(Settings!$C$15="Lara")+SUMPRODUCT(($U$5:$U$34&gt;0)*(($W$5:$W$34-($W$5:$W$34&gt;CM$4+4)*($W$5:$W$34-CM$4-4)-$V$5:$V$34-($V$5:$V$34&lt;CM$4)*(CM$4-$V$5:$V$34)+1)&gt;0)*($W$5:$W$34-($W$5:$W$34&gt;CM$4+4)*($W$5:$W$34-CM$4-4)-$V$5:$V$34-($V$5:$V$34&lt;CM$4)*(CM$4-$V$5:$V$34)+1)*$F$5:$F$34)*(Settings!$C$16="Lara")+SUMPRODUCT(($X$5:$X$34&gt;0)*(($Z$5:$Z$34-($Z$5:$Z$34&gt;CM$4+4)*($Z$5:$Z$34-CM$4-4)-$Y$5:$Y$34-($Y$5:$Y$34&lt;CM$4)*(CM$4-$Y$5:$Y$34)+1)&gt;0)*($Z$5:$Z$34-($Z$5:$Z$34&gt;CM$4+4)*($Z$5:$Z$34-CM$4-4)-$Y$5:$Y$34-($Y$5:$Y$34&lt;CM$4)*(CM$4-$Y$5:$Y$34)+1)*$F$5:$F$34)*(Settings!$C$17="Lara")+SUMPRODUCT(($AA$5:$AA$34&gt;0)*(($AC$5:$AC$34-($AC$5:$AC$34&gt;CM$4+4)*($AC$5:$AC$34-CM$4-4)-$AB$5:$AB$34-($AB$5:$AB$34&lt;CM$4)*(CM$4-$AB$5:$AB$34)+1)&gt;0)*($AC$5:$AC$34-($AC$5:$AC$34&gt;CM$4+4)*($AC$5:$AC$34-CM$4-4)-$AB$5:$AB$34-($AB$5:$AB$34&lt;CM$4)*(CM$4-$AB$5:$AB$34)+1)*$F$5:$F$34)*(Settings!$C$18="Lara")+SUMPRODUCT(($AD$5:$AD$34&gt;0)*(($AF$5:$AF$34-($AF$5:$AF$34&gt;CM$4+4)*($AF$5:$AF$34-CM$4-4)-$AE$5:$AE$34-($AE$5:$AE$34&lt;CM$4)*(CM$4-$AE$5:$AE$34)+1)&gt;0)*($AF$5:$AF$34-($AF$5:$AF$34&gt;CM$4+4)*($AF$5:$AF$34-CM$4-4)-$AE$5:$AE$34-($AE$5:$AE$34&lt;CM$4)*(CM$4-$AE$5:$AE$34)+1)*$F$5:$F$34)*(Settings!$C$19="Lara"))/Settings!$C$5</f>
        <v/>
      </c>
      <c r="CN35" s="28">
        <f>(SUMPRODUCT(($I$5:$I$34&gt;0)*(($K$5:$K$34-($K$5:$K$34&gt;CN$4+4)*($K$5:$K$34-CN$4-4)-$J$5:$J$34-($J$5:$J$34&lt;CN$4)*(CN$4-$J$5:$J$34)+1)&gt;0)*($K$5:$K$34-($K$5:$K$34&gt;CN$4+4)*($K$5:$K$34-CN$4-4)-$J$5:$J$34-($J$5:$J$34&lt;CN$4)*(CN$4-$J$5:$J$34)+1)*$F$5:$F$34)*(Settings!$C$12="Lara")+SUMPRODUCT(($L$5:$L$34&gt;0)*(($N$5:$N$34-($N$5:$N$34&gt;CN$4+4)*($N$5:$N$34-CN$4-4)-$M$5:$M$34-($M$5:$M$34&lt;CN$4)*(CN$4-$M$5:$M$34)+1)&gt;0)*($N$5:$N$34-($N$5:$N$34&gt;CN$4+4)*($N$5:$N$34-CN$4-4)-$M$5:$M$34-($M$5:$M$34&lt;CN$4)*(CN$4-$M$5:$M$34)+1)*$F$5:$F$34)*(Settings!$C$13="Lara")+SUMPRODUCT(($O$5:$O$34&gt;0)*(($Q$5:$Q$34-($Q$5:$Q$34&gt;CN$4+4)*($Q$5:$Q$34-CN$4-4)-$P$5:$P$34-($P$5:$P$34&lt;CN$4)*(CN$4-$P$5:$P$34)+1)&gt;0)*($Q$5:$Q$34-($Q$5:$Q$34&gt;CN$4+4)*($Q$5:$Q$34-CN$4-4)-$P$5:$P$34-($P$5:$P$34&lt;CN$4)*(CN$4-$P$5:$P$34)+1)*$F$5:$F$34)*(Settings!$C$14="Lara")+SUMPRODUCT(($R$5:$R$34&gt;0)*(($T$5:$T$34-($T$5:$T$34&gt;CN$4+4)*($T$5:$T$34-CN$4-4)-$S$5:$S$34-($S$5:$S$34&lt;CN$4)*(CN$4-$S$5:$S$34)+1)&gt;0)*($T$5:$T$34-($T$5:$T$34&gt;CN$4+4)*($T$5:$T$34-CN$4-4)-$S$5:$S$34-($S$5:$S$34&lt;CN$4)*(CN$4-$S$5:$S$34)+1)*$F$5:$F$34)*(Settings!$C$15="Lara")+SUMPRODUCT(($U$5:$U$34&gt;0)*(($W$5:$W$34-($W$5:$W$34&gt;CN$4+4)*($W$5:$W$34-CN$4-4)-$V$5:$V$34-($V$5:$V$34&lt;CN$4)*(CN$4-$V$5:$V$34)+1)&gt;0)*($W$5:$W$34-($W$5:$W$34&gt;CN$4+4)*($W$5:$W$34-CN$4-4)-$V$5:$V$34-($V$5:$V$34&lt;CN$4)*(CN$4-$V$5:$V$34)+1)*$F$5:$F$34)*(Settings!$C$16="Lara")+SUMPRODUCT(($X$5:$X$34&gt;0)*(($Z$5:$Z$34-($Z$5:$Z$34&gt;CN$4+4)*($Z$5:$Z$34-CN$4-4)-$Y$5:$Y$34-($Y$5:$Y$34&lt;CN$4)*(CN$4-$Y$5:$Y$34)+1)&gt;0)*($Z$5:$Z$34-($Z$5:$Z$34&gt;CN$4+4)*($Z$5:$Z$34-CN$4-4)-$Y$5:$Y$34-($Y$5:$Y$34&lt;CN$4)*(CN$4-$Y$5:$Y$34)+1)*$F$5:$F$34)*(Settings!$C$17="Lara")+SUMPRODUCT(($AA$5:$AA$34&gt;0)*(($AC$5:$AC$34-($AC$5:$AC$34&gt;CN$4+4)*($AC$5:$AC$34-CN$4-4)-$AB$5:$AB$34-($AB$5:$AB$34&lt;CN$4)*(CN$4-$AB$5:$AB$34)+1)&gt;0)*($AC$5:$AC$34-($AC$5:$AC$34&gt;CN$4+4)*($AC$5:$AC$34-CN$4-4)-$AB$5:$AB$34-($AB$5:$AB$34&lt;CN$4)*(CN$4-$AB$5:$AB$34)+1)*$F$5:$F$34)*(Settings!$C$18="Lara")+SUMPRODUCT(($AD$5:$AD$34&gt;0)*(($AF$5:$AF$34-($AF$5:$AF$34&gt;CN$4+4)*($AF$5:$AF$34-CN$4-4)-$AE$5:$AE$34-($AE$5:$AE$34&lt;CN$4)*(CN$4-$AE$5:$AE$34)+1)&gt;0)*($AF$5:$AF$34-($AF$5:$AF$34&gt;CN$4+4)*($AF$5:$AF$34-CN$4-4)-$AE$5:$AE$34-($AE$5:$AE$34&lt;CN$4)*(CN$4-$AE$5:$AE$34)+1)*$F$5:$F$34)*(Settings!$C$19="Lara"))/Settings!$C$5</f>
        <v/>
      </c>
      <c r="CO35" s="28">
        <f>(SUMPRODUCT(($I$5:$I$34&gt;0)*(($K$5:$K$34-($K$5:$K$34&gt;CO$4+4)*($K$5:$K$34-CO$4-4)-$J$5:$J$34-($J$5:$J$34&lt;CO$4)*(CO$4-$J$5:$J$34)+1)&gt;0)*($K$5:$K$34-($K$5:$K$34&gt;CO$4+4)*($K$5:$K$34-CO$4-4)-$J$5:$J$34-($J$5:$J$34&lt;CO$4)*(CO$4-$J$5:$J$34)+1)*$F$5:$F$34)*(Settings!$C$12="Lara")+SUMPRODUCT(($L$5:$L$34&gt;0)*(($N$5:$N$34-($N$5:$N$34&gt;CO$4+4)*($N$5:$N$34-CO$4-4)-$M$5:$M$34-($M$5:$M$34&lt;CO$4)*(CO$4-$M$5:$M$34)+1)&gt;0)*($N$5:$N$34-($N$5:$N$34&gt;CO$4+4)*($N$5:$N$34-CO$4-4)-$M$5:$M$34-($M$5:$M$34&lt;CO$4)*(CO$4-$M$5:$M$34)+1)*$F$5:$F$34)*(Settings!$C$13="Lara")+SUMPRODUCT(($O$5:$O$34&gt;0)*(($Q$5:$Q$34-($Q$5:$Q$34&gt;CO$4+4)*($Q$5:$Q$34-CO$4-4)-$P$5:$P$34-($P$5:$P$34&lt;CO$4)*(CO$4-$P$5:$P$34)+1)&gt;0)*($Q$5:$Q$34-($Q$5:$Q$34&gt;CO$4+4)*($Q$5:$Q$34-CO$4-4)-$P$5:$P$34-($P$5:$P$34&lt;CO$4)*(CO$4-$P$5:$P$34)+1)*$F$5:$F$34)*(Settings!$C$14="Lara")+SUMPRODUCT(($R$5:$R$34&gt;0)*(($T$5:$T$34-($T$5:$T$34&gt;CO$4+4)*($T$5:$T$34-CO$4-4)-$S$5:$S$34-($S$5:$S$34&lt;CO$4)*(CO$4-$S$5:$S$34)+1)&gt;0)*($T$5:$T$34-($T$5:$T$34&gt;CO$4+4)*($T$5:$T$34-CO$4-4)-$S$5:$S$34-($S$5:$S$34&lt;CO$4)*(CO$4-$S$5:$S$34)+1)*$F$5:$F$34)*(Settings!$C$15="Lara")+SUMPRODUCT(($U$5:$U$34&gt;0)*(($W$5:$W$34-($W$5:$W$34&gt;CO$4+4)*($W$5:$W$34-CO$4-4)-$V$5:$V$34-($V$5:$V$34&lt;CO$4)*(CO$4-$V$5:$V$34)+1)&gt;0)*($W$5:$W$34-($W$5:$W$34&gt;CO$4+4)*($W$5:$W$34-CO$4-4)-$V$5:$V$34-($V$5:$V$34&lt;CO$4)*(CO$4-$V$5:$V$34)+1)*$F$5:$F$34)*(Settings!$C$16="Lara")+SUMPRODUCT(($X$5:$X$34&gt;0)*(($Z$5:$Z$34-($Z$5:$Z$34&gt;CO$4+4)*($Z$5:$Z$34-CO$4-4)-$Y$5:$Y$34-($Y$5:$Y$34&lt;CO$4)*(CO$4-$Y$5:$Y$34)+1)&gt;0)*($Z$5:$Z$34-($Z$5:$Z$34&gt;CO$4+4)*($Z$5:$Z$34-CO$4-4)-$Y$5:$Y$34-($Y$5:$Y$34&lt;CO$4)*(CO$4-$Y$5:$Y$34)+1)*$F$5:$F$34)*(Settings!$C$17="Lara")+SUMPRODUCT(($AA$5:$AA$34&gt;0)*(($AC$5:$AC$34-($AC$5:$AC$34&gt;CO$4+4)*($AC$5:$AC$34-CO$4-4)-$AB$5:$AB$34-($AB$5:$AB$34&lt;CO$4)*(CO$4-$AB$5:$AB$34)+1)&gt;0)*($AC$5:$AC$34-($AC$5:$AC$34&gt;CO$4+4)*($AC$5:$AC$34-CO$4-4)-$AB$5:$AB$34-($AB$5:$AB$34&lt;CO$4)*(CO$4-$AB$5:$AB$34)+1)*$F$5:$F$34)*(Settings!$C$18="Lara")+SUMPRODUCT(($AD$5:$AD$34&gt;0)*(($AF$5:$AF$34-($AF$5:$AF$34&gt;CO$4+4)*($AF$5:$AF$34-CO$4-4)-$AE$5:$AE$34-($AE$5:$AE$34&lt;CO$4)*(CO$4-$AE$5:$AE$34)+1)&gt;0)*($AF$5:$AF$34-($AF$5:$AF$34&gt;CO$4+4)*($AF$5:$AF$34-CO$4-4)-$AE$5:$AE$34-($AE$5:$AE$34&lt;CO$4)*(CO$4-$AE$5:$AE$34)+1)*$F$5:$F$34)*(Settings!$C$19="Lara"))/Settings!$C$5</f>
        <v/>
      </c>
      <c r="CP35" s="28">
        <f>(SUMPRODUCT(($I$5:$I$34&gt;0)*(($K$5:$K$34-($K$5:$K$34&gt;CP$4+4)*($K$5:$K$34-CP$4-4)-$J$5:$J$34-($J$5:$J$34&lt;CP$4)*(CP$4-$J$5:$J$34)+1)&gt;0)*($K$5:$K$34-($K$5:$K$34&gt;CP$4+4)*($K$5:$K$34-CP$4-4)-$J$5:$J$34-($J$5:$J$34&lt;CP$4)*(CP$4-$J$5:$J$34)+1)*$F$5:$F$34)*(Settings!$C$12="Lara")+SUMPRODUCT(($L$5:$L$34&gt;0)*(($N$5:$N$34-($N$5:$N$34&gt;CP$4+4)*($N$5:$N$34-CP$4-4)-$M$5:$M$34-($M$5:$M$34&lt;CP$4)*(CP$4-$M$5:$M$34)+1)&gt;0)*($N$5:$N$34-($N$5:$N$34&gt;CP$4+4)*($N$5:$N$34-CP$4-4)-$M$5:$M$34-($M$5:$M$34&lt;CP$4)*(CP$4-$M$5:$M$34)+1)*$F$5:$F$34)*(Settings!$C$13="Lara")+SUMPRODUCT(($O$5:$O$34&gt;0)*(($Q$5:$Q$34-($Q$5:$Q$34&gt;CP$4+4)*($Q$5:$Q$34-CP$4-4)-$P$5:$P$34-($P$5:$P$34&lt;CP$4)*(CP$4-$P$5:$P$34)+1)&gt;0)*($Q$5:$Q$34-($Q$5:$Q$34&gt;CP$4+4)*($Q$5:$Q$34-CP$4-4)-$P$5:$P$34-($P$5:$P$34&lt;CP$4)*(CP$4-$P$5:$P$34)+1)*$F$5:$F$34)*(Settings!$C$14="Lara")+SUMPRODUCT(($R$5:$R$34&gt;0)*(($T$5:$T$34-($T$5:$T$34&gt;CP$4+4)*($T$5:$T$34-CP$4-4)-$S$5:$S$34-($S$5:$S$34&lt;CP$4)*(CP$4-$S$5:$S$34)+1)&gt;0)*($T$5:$T$34-($T$5:$T$34&gt;CP$4+4)*($T$5:$T$34-CP$4-4)-$S$5:$S$34-($S$5:$S$34&lt;CP$4)*(CP$4-$S$5:$S$34)+1)*$F$5:$F$34)*(Settings!$C$15="Lara")+SUMPRODUCT(($U$5:$U$34&gt;0)*(($W$5:$W$34-($W$5:$W$34&gt;CP$4+4)*($W$5:$W$34-CP$4-4)-$V$5:$V$34-($V$5:$V$34&lt;CP$4)*(CP$4-$V$5:$V$34)+1)&gt;0)*($W$5:$W$34-($W$5:$W$34&gt;CP$4+4)*($W$5:$W$34-CP$4-4)-$V$5:$V$34-($V$5:$V$34&lt;CP$4)*(CP$4-$V$5:$V$34)+1)*$F$5:$F$34)*(Settings!$C$16="Lara")+SUMPRODUCT(($X$5:$X$34&gt;0)*(($Z$5:$Z$34-($Z$5:$Z$34&gt;CP$4+4)*($Z$5:$Z$34-CP$4-4)-$Y$5:$Y$34-($Y$5:$Y$34&lt;CP$4)*(CP$4-$Y$5:$Y$34)+1)&gt;0)*($Z$5:$Z$34-($Z$5:$Z$34&gt;CP$4+4)*($Z$5:$Z$34-CP$4-4)-$Y$5:$Y$34-($Y$5:$Y$34&lt;CP$4)*(CP$4-$Y$5:$Y$34)+1)*$F$5:$F$34)*(Settings!$C$17="Lara")+SUMPRODUCT(($AA$5:$AA$34&gt;0)*(($AC$5:$AC$34-($AC$5:$AC$34&gt;CP$4+4)*($AC$5:$AC$34-CP$4-4)-$AB$5:$AB$34-($AB$5:$AB$34&lt;CP$4)*(CP$4-$AB$5:$AB$34)+1)&gt;0)*($AC$5:$AC$34-($AC$5:$AC$34&gt;CP$4+4)*($AC$5:$AC$34-CP$4-4)-$AB$5:$AB$34-($AB$5:$AB$34&lt;CP$4)*(CP$4-$AB$5:$AB$34)+1)*$F$5:$F$34)*(Settings!$C$18="Lara")+SUMPRODUCT(($AD$5:$AD$34&gt;0)*(($AF$5:$AF$34-($AF$5:$AF$34&gt;CP$4+4)*($AF$5:$AF$34-CP$4-4)-$AE$5:$AE$34-($AE$5:$AE$34&lt;CP$4)*(CP$4-$AE$5:$AE$34)+1)&gt;0)*($AF$5:$AF$34-($AF$5:$AF$34&gt;CP$4+4)*($AF$5:$AF$34-CP$4-4)-$AE$5:$AE$34-($AE$5:$AE$34&lt;CP$4)*(CP$4-$AE$5:$AE$34)+1)*$F$5:$F$34)*(Settings!$C$19="Lara"))/Settings!$C$5</f>
        <v/>
      </c>
      <c r="CQ35" s="28">
        <f>(SUMPRODUCT(($I$5:$I$34&gt;0)*(($K$5:$K$34-($K$5:$K$34&gt;CQ$4+4)*($K$5:$K$34-CQ$4-4)-$J$5:$J$34-($J$5:$J$34&lt;CQ$4)*(CQ$4-$J$5:$J$34)+1)&gt;0)*($K$5:$K$34-($K$5:$K$34&gt;CQ$4+4)*($K$5:$K$34-CQ$4-4)-$J$5:$J$34-($J$5:$J$34&lt;CQ$4)*(CQ$4-$J$5:$J$34)+1)*$F$5:$F$34)*(Settings!$C$12="Lara")+SUMPRODUCT(($L$5:$L$34&gt;0)*(($N$5:$N$34-($N$5:$N$34&gt;CQ$4+4)*($N$5:$N$34-CQ$4-4)-$M$5:$M$34-($M$5:$M$34&lt;CQ$4)*(CQ$4-$M$5:$M$34)+1)&gt;0)*($N$5:$N$34-($N$5:$N$34&gt;CQ$4+4)*($N$5:$N$34-CQ$4-4)-$M$5:$M$34-($M$5:$M$34&lt;CQ$4)*(CQ$4-$M$5:$M$34)+1)*$F$5:$F$34)*(Settings!$C$13="Lara")+SUMPRODUCT(($O$5:$O$34&gt;0)*(($Q$5:$Q$34-($Q$5:$Q$34&gt;CQ$4+4)*($Q$5:$Q$34-CQ$4-4)-$P$5:$P$34-($P$5:$P$34&lt;CQ$4)*(CQ$4-$P$5:$P$34)+1)&gt;0)*($Q$5:$Q$34-($Q$5:$Q$34&gt;CQ$4+4)*($Q$5:$Q$34-CQ$4-4)-$P$5:$P$34-($P$5:$P$34&lt;CQ$4)*(CQ$4-$P$5:$P$34)+1)*$F$5:$F$34)*(Settings!$C$14="Lara")+SUMPRODUCT(($R$5:$R$34&gt;0)*(($T$5:$T$34-($T$5:$T$34&gt;CQ$4+4)*($T$5:$T$34-CQ$4-4)-$S$5:$S$34-($S$5:$S$34&lt;CQ$4)*(CQ$4-$S$5:$S$34)+1)&gt;0)*($T$5:$T$34-($T$5:$T$34&gt;CQ$4+4)*($T$5:$T$34-CQ$4-4)-$S$5:$S$34-($S$5:$S$34&lt;CQ$4)*(CQ$4-$S$5:$S$34)+1)*$F$5:$F$34)*(Settings!$C$15="Lara")+SUMPRODUCT(($U$5:$U$34&gt;0)*(($W$5:$W$34-($W$5:$W$34&gt;CQ$4+4)*($W$5:$W$34-CQ$4-4)-$V$5:$V$34-($V$5:$V$34&lt;CQ$4)*(CQ$4-$V$5:$V$34)+1)&gt;0)*($W$5:$W$34-($W$5:$W$34&gt;CQ$4+4)*($W$5:$W$34-CQ$4-4)-$V$5:$V$34-($V$5:$V$34&lt;CQ$4)*(CQ$4-$V$5:$V$34)+1)*$F$5:$F$34)*(Settings!$C$16="Lara")+SUMPRODUCT(($X$5:$X$34&gt;0)*(($Z$5:$Z$34-($Z$5:$Z$34&gt;CQ$4+4)*($Z$5:$Z$34-CQ$4-4)-$Y$5:$Y$34-($Y$5:$Y$34&lt;CQ$4)*(CQ$4-$Y$5:$Y$34)+1)&gt;0)*($Z$5:$Z$34-($Z$5:$Z$34&gt;CQ$4+4)*($Z$5:$Z$34-CQ$4-4)-$Y$5:$Y$34-($Y$5:$Y$34&lt;CQ$4)*(CQ$4-$Y$5:$Y$34)+1)*$F$5:$F$34)*(Settings!$C$17="Lara")+SUMPRODUCT(($AA$5:$AA$34&gt;0)*(($AC$5:$AC$34-($AC$5:$AC$34&gt;CQ$4+4)*($AC$5:$AC$34-CQ$4-4)-$AB$5:$AB$34-($AB$5:$AB$34&lt;CQ$4)*(CQ$4-$AB$5:$AB$34)+1)&gt;0)*($AC$5:$AC$34-($AC$5:$AC$34&gt;CQ$4+4)*($AC$5:$AC$34-CQ$4-4)-$AB$5:$AB$34-($AB$5:$AB$34&lt;CQ$4)*(CQ$4-$AB$5:$AB$34)+1)*$F$5:$F$34)*(Settings!$C$18="Lara")+SUMPRODUCT(($AD$5:$AD$34&gt;0)*(($AF$5:$AF$34-($AF$5:$AF$34&gt;CQ$4+4)*($AF$5:$AF$34-CQ$4-4)-$AE$5:$AE$34-($AE$5:$AE$34&lt;CQ$4)*(CQ$4-$AE$5:$AE$34)+1)&gt;0)*($AF$5:$AF$34-($AF$5:$AF$34&gt;CQ$4+4)*($AF$5:$AF$34-CQ$4-4)-$AE$5:$AE$34-($AE$5:$AE$34&lt;CQ$4)*(CQ$4-$AE$5:$AE$34)+1)*$F$5:$F$34)*(Settings!$C$19="Lara"))/Settings!$C$5</f>
        <v/>
      </c>
      <c r="CR35" s="28">
        <f>(SUMPRODUCT(($I$5:$I$34&gt;0)*(($K$5:$K$34-($K$5:$K$34&gt;CR$4+4)*($K$5:$K$34-CR$4-4)-$J$5:$J$34-($J$5:$J$34&lt;CR$4)*(CR$4-$J$5:$J$34)+1)&gt;0)*($K$5:$K$34-($K$5:$K$34&gt;CR$4+4)*($K$5:$K$34-CR$4-4)-$J$5:$J$34-($J$5:$J$34&lt;CR$4)*(CR$4-$J$5:$J$34)+1)*$F$5:$F$34)*(Settings!$C$12="Lara")+SUMPRODUCT(($L$5:$L$34&gt;0)*(($N$5:$N$34-($N$5:$N$34&gt;CR$4+4)*($N$5:$N$34-CR$4-4)-$M$5:$M$34-($M$5:$M$34&lt;CR$4)*(CR$4-$M$5:$M$34)+1)&gt;0)*($N$5:$N$34-($N$5:$N$34&gt;CR$4+4)*($N$5:$N$34-CR$4-4)-$M$5:$M$34-($M$5:$M$34&lt;CR$4)*(CR$4-$M$5:$M$34)+1)*$F$5:$F$34)*(Settings!$C$13="Lara")+SUMPRODUCT(($O$5:$O$34&gt;0)*(($Q$5:$Q$34-($Q$5:$Q$34&gt;CR$4+4)*($Q$5:$Q$34-CR$4-4)-$P$5:$P$34-($P$5:$P$34&lt;CR$4)*(CR$4-$P$5:$P$34)+1)&gt;0)*($Q$5:$Q$34-($Q$5:$Q$34&gt;CR$4+4)*($Q$5:$Q$34-CR$4-4)-$P$5:$P$34-($P$5:$P$34&lt;CR$4)*(CR$4-$P$5:$P$34)+1)*$F$5:$F$34)*(Settings!$C$14="Lara")+SUMPRODUCT(($R$5:$R$34&gt;0)*(($T$5:$T$34-($T$5:$T$34&gt;CR$4+4)*($T$5:$T$34-CR$4-4)-$S$5:$S$34-($S$5:$S$34&lt;CR$4)*(CR$4-$S$5:$S$34)+1)&gt;0)*($T$5:$T$34-($T$5:$T$34&gt;CR$4+4)*($T$5:$T$34-CR$4-4)-$S$5:$S$34-($S$5:$S$34&lt;CR$4)*(CR$4-$S$5:$S$34)+1)*$F$5:$F$34)*(Settings!$C$15="Lara")+SUMPRODUCT(($U$5:$U$34&gt;0)*(($W$5:$W$34-($W$5:$W$34&gt;CR$4+4)*($W$5:$W$34-CR$4-4)-$V$5:$V$34-($V$5:$V$34&lt;CR$4)*(CR$4-$V$5:$V$34)+1)&gt;0)*($W$5:$W$34-($W$5:$W$34&gt;CR$4+4)*($W$5:$W$34-CR$4-4)-$V$5:$V$34-($V$5:$V$34&lt;CR$4)*(CR$4-$V$5:$V$34)+1)*$F$5:$F$34)*(Settings!$C$16="Lara")+SUMPRODUCT(($X$5:$X$34&gt;0)*(($Z$5:$Z$34-($Z$5:$Z$34&gt;CR$4+4)*($Z$5:$Z$34-CR$4-4)-$Y$5:$Y$34-($Y$5:$Y$34&lt;CR$4)*(CR$4-$Y$5:$Y$34)+1)&gt;0)*($Z$5:$Z$34-($Z$5:$Z$34&gt;CR$4+4)*($Z$5:$Z$34-CR$4-4)-$Y$5:$Y$34-($Y$5:$Y$34&lt;CR$4)*(CR$4-$Y$5:$Y$34)+1)*$F$5:$F$34)*(Settings!$C$17="Lara")+SUMPRODUCT(($AA$5:$AA$34&gt;0)*(($AC$5:$AC$34-($AC$5:$AC$34&gt;CR$4+4)*($AC$5:$AC$34-CR$4-4)-$AB$5:$AB$34-($AB$5:$AB$34&lt;CR$4)*(CR$4-$AB$5:$AB$34)+1)&gt;0)*($AC$5:$AC$34-($AC$5:$AC$34&gt;CR$4+4)*($AC$5:$AC$34-CR$4-4)-$AB$5:$AB$34-($AB$5:$AB$34&lt;CR$4)*(CR$4-$AB$5:$AB$34)+1)*$F$5:$F$34)*(Settings!$C$18="Lara")+SUMPRODUCT(($AD$5:$AD$34&gt;0)*(($AF$5:$AF$34-($AF$5:$AF$34&gt;CR$4+4)*($AF$5:$AF$34-CR$4-4)-$AE$5:$AE$34-($AE$5:$AE$34&lt;CR$4)*(CR$4-$AE$5:$AE$34)+1)&gt;0)*($AF$5:$AF$34-($AF$5:$AF$34&gt;CR$4+4)*($AF$5:$AF$34-CR$4-4)-$AE$5:$AE$34-($AE$5:$AE$34&lt;CR$4)*(CR$4-$AE$5:$AE$34)+1)*$F$5:$F$34)*(Settings!$C$19="Lara"))/Settings!$C$5</f>
        <v/>
      </c>
    </row>
    <row r="37">
      <c r="B37" s="3" t="inlineStr">
        <is>
          <t>Legend</t>
        </is>
      </c>
    </row>
    <row r="38">
      <c r="B38" s="29" t="inlineStr">
        <is>
          <t>Brief and concept</t>
        </is>
      </c>
      <c r="C38" s="2">
        <f>Settings!$C$12</f>
        <v/>
      </c>
    </row>
    <row r="39">
      <c r="B39" s="30" t="inlineStr">
        <is>
          <t>Floor planning</t>
        </is>
      </c>
      <c r="C39" s="2">
        <f>Settings!$C$13</f>
        <v/>
      </c>
    </row>
    <row r="40">
      <c r="B40" s="31" t="inlineStr">
        <is>
          <t>3D modeling</t>
        </is>
      </c>
      <c r="C40" s="2">
        <f>Settings!$C$14</f>
        <v/>
      </c>
    </row>
    <row r="41">
      <c r="B41" s="32" t="inlineStr">
        <is>
          <t>Client approval</t>
        </is>
      </c>
      <c r="C41" s="2">
        <f>Settings!$C$15</f>
        <v/>
      </c>
    </row>
    <row r="42">
      <c r="B42" s="33" t="inlineStr">
        <is>
          <t>Technical drawings</t>
        </is>
      </c>
      <c r="C42" s="2">
        <f>Settings!$C$16</f>
        <v/>
      </c>
    </row>
    <row r="43">
      <c r="B43" s="34" t="inlineStr">
        <is>
          <t>Furniture drawings</t>
        </is>
      </c>
      <c r="C43" s="2">
        <f>Settings!$C$17</f>
        <v/>
      </c>
    </row>
    <row r="44">
      <c r="B44" s="35" t="inlineStr">
        <is>
          <t>Procurement</t>
        </is>
      </c>
      <c r="C44" s="2">
        <f>Settings!$C$18</f>
        <v/>
      </c>
    </row>
    <row r="45">
      <c r="B45" s="36" t="inlineStr">
        <is>
          <t>Site supervision</t>
        </is>
      </c>
      <c r="C45" s="2">
        <f>Settings!$C$19</f>
        <v/>
      </c>
    </row>
    <row r="47">
      <c r="B47" s="2" t="inlineStr">
        <is>
          <t>Red header = current week.  Grey and sand bars are Anahit's tracking phases. Lara load counts only phases whose Owner is Lara on the Settings sheet.</t>
        </is>
      </c>
    </row>
  </sheetData>
  <mergeCells count="8">
    <mergeCell ref="U3:W3"/>
    <mergeCell ref="R3:T3"/>
    <mergeCell ref="AD3:AF3"/>
    <mergeCell ref="X3:Z3"/>
    <mergeCell ref="I3:K3"/>
    <mergeCell ref="L3:N3"/>
    <mergeCell ref="AA3:AC3"/>
    <mergeCell ref="O3:Q3"/>
  </mergeCells>
  <conditionalFormatting sqref="AK5:CR34">
    <cfRule type="expression" priority="1" dxfId="0" stopIfTrue="1">
      <formula>AND($I5&gt;0,AK$4&lt;=$K5,AK$4+6&gt;=$J5)</formula>
    </cfRule>
    <cfRule type="expression" priority="2" dxfId="1" stopIfTrue="1">
      <formula>AND($L5&gt;0,AK$4&lt;=$N5,AK$4+6&gt;=$M5)</formula>
    </cfRule>
    <cfRule type="expression" priority="3" dxfId="2" stopIfTrue="1">
      <formula>AND($O5&gt;0,AK$4&lt;=$Q5,AK$4+6&gt;=$P5)</formula>
    </cfRule>
    <cfRule type="expression" priority="4" dxfId="3" stopIfTrue="1">
      <formula>AND($R5&gt;0,AK$4&lt;=$T5,AK$4+6&gt;=$S5)</formula>
    </cfRule>
    <cfRule type="expression" priority="5" dxfId="4" stopIfTrue="1">
      <formula>AND($U5&gt;0,AK$4&lt;=$W5,AK$4+6&gt;=$V5)</formula>
    </cfRule>
    <cfRule type="expression" priority="6" dxfId="5" stopIfTrue="1">
      <formula>AND($X5&gt;0,AK$4&lt;=$Z5,AK$4+6&gt;=$Y5)</formula>
    </cfRule>
    <cfRule type="expression" priority="7" dxfId="6" stopIfTrue="1">
      <formula>AND($AA5&gt;0,AK$4&lt;=$AC5,AK$4+6&gt;=$AB5)</formula>
    </cfRule>
    <cfRule type="expression" priority="8" dxfId="7" stopIfTrue="1">
      <formula>AND($AD5&gt;0,AK$4&lt;=$AF5,AK$4+6&gt;=$AE5)</formula>
    </cfRule>
  </conditionalFormatting>
  <conditionalFormatting sqref="AK4:CR4">
    <cfRule type="expression" priority="9" dxfId="8">
      <formula>AND(TODAY()&gt;=AK4,TODAY()&lt;AK4+7)</formula>
    </cfRule>
  </conditionalFormatting>
  <conditionalFormatting sqref="AK35:CR35">
    <cfRule type="expression" priority="10" dxfId="9">
      <formula>AK35&gt;1.001</formula>
    </cfRule>
    <cfRule type="expression" priority="11" dxfId="10">
      <formula>AND(AK35&gt;0,AK35&lt;=1.001)</formula>
    </cfRule>
  </conditionalFormatting>
  <dataValidations count="1">
    <dataValidation sqref="H5:H34" showDropDown="0" showInputMessage="0" showErrorMessage="0" allowBlank="1" type="list">
      <formula1>"Planned,Active,On hold,Done"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2026-10-02T04:31:14Z</dcterms:created>
  <dcterms:modified xsi:type="dcterms:W3CDTF">2026-10-02T04:31:14Z</dcterms:modified>
</cp:coreProperties>
</file>