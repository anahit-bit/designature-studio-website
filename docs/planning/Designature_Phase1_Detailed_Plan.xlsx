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am.Hambardzumyan\Downloads\"/>
    </mc:Choice>
  </mc:AlternateContent>
  <xr:revisionPtr revIDLastSave="0" documentId="13_ncr:1_{8BCDCD35-A008-49D2-A346-56C4F3326E25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Overview" sheetId="1" r:id="rId1"/>
    <sheet name="Phase 1 Tasks" sheetId="2" r:id="rId2"/>
    <sheet name="Gantt (Day 1-10)" sheetId="3" r:id="rId3"/>
    <sheet name="Legend" sheetId="4" r:id="rId4"/>
  </sheets>
  <definedNames>
    <definedName name="_xlnm._FilterDatabase" localSheetId="1" hidden="1">'Phase 1 Tasks'!$A$1:$M$37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7" i="2" l="1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D21" i="1"/>
  <c r="C21" i="1"/>
  <c r="D20" i="1"/>
  <c r="C20" i="1"/>
  <c r="D19" i="1"/>
  <c r="C19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D14" i="1" s="1"/>
  <c r="C9" i="1"/>
  <c r="F11" i="1" l="1"/>
  <c r="F13" i="1"/>
  <c r="F10" i="1"/>
  <c r="E14" i="1"/>
  <c r="F12" i="1"/>
  <c r="C14" i="1"/>
  <c r="F9" i="1"/>
  <c r="F14" i="1" l="1"/>
</calcChain>
</file>

<file path=xl/sharedStrings.xml><?xml version="1.0" encoding="utf-8"?>
<sst xmlns="http://schemas.openxmlformats.org/spreadsheetml/2006/main" count="545" uniqueCount="195">
  <si>
    <t>Phase 1 Detailed Plan — Foundations (Weeks 1-2)</t>
  </si>
  <si>
    <t>Objective: lock the brand and design-system foundations that every later phase builds on, while shipping the quick conversion fixes identified in the UI/UX audit. By the end of Phase 1, the logo is final, a v1 token-based component library is published, and five conversion fixes are live in production.</t>
  </si>
  <si>
    <t>Workstream summary</t>
  </si>
  <si>
    <t>Workstream</t>
  </si>
  <si>
    <t>Total Tasks</t>
  </si>
  <si>
    <t>P0 Tasks</t>
  </si>
  <si>
    <t>Done</t>
  </si>
  <si>
    <t>% Complete</t>
  </si>
  <si>
    <t>Brand</t>
  </si>
  <si>
    <t>Design System</t>
  </si>
  <si>
    <t>Messaging &amp; CTA</t>
  </si>
  <si>
    <t>Pricing &amp; Credits</t>
  </si>
  <si>
    <t>Wrap-up</t>
  </si>
  <si>
    <t>Total</t>
  </si>
  <si>
    <t>Priority summary</t>
  </si>
  <si>
    <t>Priority</t>
  </si>
  <si>
    <t>Task Count</t>
  </si>
  <si>
    <t>P0 - Critical</t>
  </si>
  <si>
    <t>P1 - High</t>
  </si>
  <si>
    <t>P2 - Medium</t>
  </si>
  <si>
    <t>Phase 1 exit criteria (definition of done)</t>
  </si>
  <si>
    <t>-  Final logo, favicon, and icon set are locked and in use across the site.</t>
  </si>
  <si>
    <t>-  v1 token-based component library is published and used for every new UI shipped in this phase.</t>
  </si>
  <si>
    <t>-  Homepage hero states the AI+human hybrid model live in production.</t>
  </si>
  <si>
    <t>-  "Try AI Free" nav pill is live on every legacy page.</t>
  </si>
  <si>
    <t>-  A single, standardized "Ask a Designer" CTA replaces the five prior phrasings everywhere.</t>
  </si>
  <si>
    <t>-  Credit-consumption audit memo is delivered to stakeholders ahead of Phase 3.</t>
  </si>
  <si>
    <t>-  Non-blocking persona row is live on the homepage.</t>
  </si>
  <si>
    <t>-  Redesign My Room results screen shows one primary CTA instead of four.</t>
  </si>
  <si>
    <t>-  Score My Room gating matches the "Free - 3/mo" pattern used by the other live tools.</t>
  </si>
  <si>
    <t>ID</t>
  </si>
  <si>
    <t>Feature</t>
  </si>
  <si>
    <t>Task</t>
  </si>
  <si>
    <t>Owner</t>
  </si>
  <si>
    <t>Week</t>
  </si>
  <si>
    <t>Start Day</t>
  </si>
  <si>
    <t>End Day</t>
  </si>
  <si>
    <t>Duration (days)</t>
  </si>
  <si>
    <t>Depends On</t>
  </si>
  <si>
    <t>Deliverable / Acceptance Criteria</t>
  </si>
  <si>
    <t>Status</t>
  </si>
  <si>
    <t>BR1</t>
  </si>
  <si>
    <t>Logo finalization</t>
  </si>
  <si>
    <t>Review existing logo variations and gather stakeholder feedback</t>
  </si>
  <si>
    <t>Brand Designer</t>
  </si>
  <si>
    <t>Week 1</t>
  </si>
  <si>
    <t>-</t>
  </si>
  <si>
    <t>Signed-off direction memo from stakeholders</t>
  </si>
  <si>
    <t>Not Started</t>
  </si>
  <si>
    <t>BR2</t>
  </si>
  <si>
    <t>Finalize primary mark and wordmark lockup</t>
  </si>
  <si>
    <t>Final vector logo files (SVG/AI) approved</t>
  </si>
  <si>
    <t>BR3</t>
  </si>
  <si>
    <t>Define color variants (light / dark / mono)</t>
  </si>
  <si>
    <t>3 approved color variants exported</t>
  </si>
  <si>
    <t>BR4</t>
  </si>
  <si>
    <t>Export favicon and app icon set</t>
  </si>
  <si>
    <t>Favicon .ico + app icons (16-512px) delivered</t>
  </si>
  <si>
    <t>BR5</t>
  </si>
  <si>
    <t>Document logo usage guidelines</t>
  </si>
  <si>
    <t>1-page usage doc: clear space, minimum size, do/don't</t>
  </si>
  <si>
    <t>DS1</t>
  </si>
  <si>
    <t>Token library</t>
  </si>
  <si>
    <t>Audit current site for existing visual patterns</t>
  </si>
  <si>
    <t>Product Designer</t>
  </si>
  <si>
    <t>Pattern inventory doc covering colors, type, spacing, components</t>
  </si>
  <si>
    <t>DS2</t>
  </si>
  <si>
    <t>Define token taxonomy (color, type, spacing, radius, shadow)</t>
  </si>
  <si>
    <t>Design Lead</t>
  </si>
  <si>
    <t>Token naming spec reviewed and approved</t>
  </si>
  <si>
    <t>DS3</t>
  </si>
  <si>
    <t>Set up base Figma library file structure</t>
  </si>
  <si>
    <t>Library file created with page structure in place</t>
  </si>
  <si>
    <t>DS4</t>
  </si>
  <si>
    <t>Populate core tokens (color / type / spacing) into library</t>
  </si>
  <si>
    <t>All core tokens published as Figma variables</t>
  </si>
  <si>
    <t>DS5</t>
  </si>
  <si>
    <t>Build enhanced core components (buttons, cards, badges, fields)</t>
  </si>
  <si>
    <t>Week 2</t>
  </si>
  <si>
    <t>Component set covers every pattern used in this phase's CTA work</t>
  </si>
  <si>
    <t>DS6</t>
  </si>
  <si>
    <t>QA library against live site and publish v1</t>
  </si>
  <si>
    <t>v1 library published; no orphaned styles; changelog written</t>
  </si>
  <si>
    <t>CX1</t>
  </si>
  <si>
    <t>Hero messaging</t>
  </si>
  <si>
    <t>Draft 3 hero headline / sub-line variants (AI+human hybrid)</t>
  </si>
  <si>
    <t>Copywriter</t>
  </si>
  <si>
    <t>3 options delivered with rationale</t>
  </si>
  <si>
    <t>CX2</t>
  </si>
  <si>
    <t>Stakeholder review and final copy sign-off</t>
  </si>
  <si>
    <t>PM</t>
  </si>
  <si>
    <t>Final copy approved in writing</t>
  </si>
  <si>
    <t>CX3</t>
  </si>
  <si>
    <t>Implement new hero copy on homepage</t>
  </si>
  <si>
    <t>Frontend Engineer</t>
  </si>
  <si>
    <t>Live on staging, matches approved copy exactly</t>
  </si>
  <si>
    <t>CX4</t>
  </si>
  <si>
    <t>QA hero across breakpoints</t>
  </si>
  <si>
    <t>QA</t>
  </si>
  <si>
    <t>No layout breaks on mobile, tablet, or desktop</t>
  </si>
  <si>
    <t>CX5</t>
  </si>
  <si>
    <t>Nav CTA pill</t>
  </si>
  <si>
    <t>Spec "Try AI Free" nav pill component</t>
  </si>
  <si>
    <t>Component spec ready (states, sizing, placement)</t>
  </si>
  <si>
    <t>CX6</t>
  </si>
  <si>
    <t>Implement pill across every legacy page</t>
  </si>
  <si>
    <t>Pill live on Home, Services, Portfolio, About nav</t>
  </si>
  <si>
    <t>CX7</t>
  </si>
  <si>
    <t>QA nav links and mobile menu collapse</t>
  </si>
  <si>
    <t>No broken links; mobile menu unaffected</t>
  </si>
  <si>
    <t>CX8</t>
  </si>
  <si>
    <t>Escalation CTA</t>
  </si>
  <si>
    <t>Decide on single escalation CTA name and framing</t>
  </si>
  <si>
    <t>Name + microcopy approved (e.g. "Ask a Designer")</t>
  </si>
  <si>
    <t>CX9</t>
  </si>
  <si>
    <t>Audit all current instances of the escalation CTA</t>
  </si>
  <si>
    <t>Inventory of every current instance and page</t>
  </si>
  <si>
    <t>CX10</t>
  </si>
  <si>
    <t>Update copy and styling at every instance</t>
  </si>
  <si>
    <t>CX8, CX9</t>
  </si>
  <si>
    <t>All instances use the identical name and visual style</t>
  </si>
  <si>
    <t>CX11</t>
  </si>
  <si>
    <t>QA consistency pass site-wide</t>
  </si>
  <si>
    <t>Zero mismatched CTA labels found</t>
  </si>
  <si>
    <t>CX12</t>
  </si>
  <si>
    <t>Persona row</t>
  </si>
  <si>
    <t>Design non-blocking persona row UI (2 buttons)</t>
  </si>
  <si>
    <t>Two-button row spec using library components</t>
  </si>
  <si>
    <t>CX13</t>
  </si>
  <si>
    <t>Implement persona row and routing logic</t>
  </si>
  <si>
    <t>Live on staging; correctly reorders tool teaser per choice</t>
  </si>
  <si>
    <t>CX14</t>
  </si>
  <si>
    <t>QA persona row on mobile and desktop</t>
  </si>
  <si>
    <t>Both persona paths tested; no dead ends</t>
  </si>
  <si>
    <t>CX15</t>
  </si>
  <si>
    <t>Results screen CTA</t>
  </si>
  <si>
    <t>Define new CTA hierarchy (1 primary + collapsed next steps)</t>
  </si>
  <si>
    <t>Wireframe approved by PM and design lead</t>
  </si>
  <si>
    <t>CX16</t>
  </si>
  <si>
    <t>Implement CTA hierarchy change</t>
  </si>
  <si>
    <t>Live on staging, matching the approved wireframe</t>
  </si>
  <si>
    <t>CX17</t>
  </si>
  <si>
    <t>QA and verify analytics events still fire correctly</t>
  </si>
  <si>
    <t>All 4 original CTA events still tracked correctly</t>
  </si>
  <si>
    <t>CX18</t>
  </si>
  <si>
    <t>Score My Room gating</t>
  </si>
  <si>
    <t>Update gating logic to "Free - 3/mo"</t>
  </si>
  <si>
    <t>Backend Engineer</t>
  </si>
  <si>
    <t>PR2</t>
  </si>
  <si>
    <t>Cap enforced server-side, matching the other two live tools</t>
  </si>
  <si>
    <t>CX19</t>
  </si>
  <si>
    <t>Update UI copy to reflect the new free cap</t>
  </si>
  <si>
    <t>UI shows "Free - 3/mo" consistent with other tools</t>
  </si>
  <si>
    <t>CX20</t>
  </si>
  <si>
    <t>QA credit counter and cap behavior</t>
  </si>
  <si>
    <t>Counter decrements correctly and resets monthly</t>
  </si>
  <si>
    <t>PR1</t>
  </si>
  <si>
    <t>Credit audit</t>
  </si>
  <si>
    <t>Pull current credit costs per tool step</t>
  </si>
  <si>
    <t>Raw cost data exported per tool and step</t>
  </si>
  <si>
    <t>Map costs against advertised free caps</t>
  </si>
  <si>
    <t>PM/Analyst</t>
  </si>
  <si>
    <t>Comparison table: advertised vs. actual cost per step</t>
  </si>
  <si>
    <t>PR3</t>
  </si>
  <si>
    <t>Write findings memo and flag discrepancies</t>
  </si>
  <si>
    <t>Memo shared with stakeholders ahead of Phase 3 pricing work</t>
  </si>
  <si>
    <t>WU1</t>
  </si>
  <si>
    <t>Phase close</t>
  </si>
  <si>
    <t>Phase 1 review, demo, and sign-off</t>
  </si>
  <si>
    <t>ALL</t>
  </si>
  <si>
    <t>Every P0 task done; stakeholders sign off</t>
  </si>
  <si>
    <t>WU2</t>
  </si>
  <si>
    <t>Phase 1 retro and Phase 2 kickoff prep</t>
  </si>
  <si>
    <t>Retro notes and Phase 2 kickoff agenda sent</t>
  </si>
  <si>
    <t>Day 1
Mon</t>
  </si>
  <si>
    <t>Day 2
Tue</t>
  </si>
  <si>
    <t>Day 3
Wed</t>
  </si>
  <si>
    <t>Day 4
Thu</t>
  </si>
  <si>
    <t>Day 5
Fri</t>
  </si>
  <si>
    <t>Day 6
Mon</t>
  </si>
  <si>
    <t>Day 7
Tue</t>
  </si>
  <si>
    <t>Day 8
Wed</t>
  </si>
  <si>
    <t>Day 9
Thu</t>
  </si>
  <si>
    <t>Day 10
Fri</t>
  </si>
  <si>
    <t>Legend</t>
  </si>
  <si>
    <t>Must ship this phase. Blocks the phase exit criteria or a downstream phase.</t>
  </si>
  <si>
    <t>Should ship this phase. Important but has limited workaround if slipped by a few days.</t>
  </si>
  <si>
    <t>Nice to have this phase. Safe to slip into Phase 2 if the schedule is tight.</t>
  </si>
  <si>
    <t>How to use this workbook</t>
  </si>
  <si>
    <t>-  Phase 1 Tasks is the working sheet — update Owner, Status, and dates as work progresses.</t>
  </si>
  <si>
    <t>-  Priority, Owner, Workstream, and Status are all dropdowns; colors update automatically.</t>
  </si>
  <si>
    <t>-  Depends On lists task IDs that must finish first — check it before moving a task's dates.</t>
  </si>
  <si>
    <t>-  The Gantt tab is a snapshot of this plan; if dates shift, edit Start/End Day on Phase 1 Tasks and rebuild the shading.</t>
  </si>
  <si>
    <t>-  The Overview tab's totals and % complete update automatically as Status is marked "Done".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</si>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</sst>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"/>
    </font>
    <font>
      <b/>
      <sz val="16"/>
      <color rgb="FF1E2A2F"/>
      <name val="Arial"/>
      <charset val="1"/>
    </font>
    <font>
      <i/>
      <sz val="10.5"/>
      <color rgb="FF4B5A5F"/>
      <name val="Arial"/>
      <charset val="1"/>
    </font>
    <font>
      <b/>
      <sz val="13"/>
      <color rgb="FF1E2A2F"/>
      <name val="Arial"/>
      <charset val="1"/>
    </font>
    <font>
      <b/>
      <sz val="11"/>
      <color rgb="FFF7F5EE"/>
      <name val="Arial"/>
      <charset val="1"/>
    </font>
    <font>
      <sz val="10.5"/>
      <color rgb="FF1E2A2F"/>
      <name val="Arial"/>
      <charset val="1"/>
    </font>
    <font>
      <b/>
      <sz val="10.5"/>
      <color rgb="FF1E2A2F"/>
      <name val="Arial"/>
      <charset val="1"/>
    </font>
    <font>
      <b/>
      <sz val="10.5"/>
      <color rgb="FF9B3B3B"/>
      <name val="Arial"/>
      <charset val="1"/>
    </font>
    <font>
      <b/>
      <sz val="10.5"/>
      <color rgb="FF9C7327"/>
      <name val="Arial"/>
      <charset val="1"/>
    </font>
    <font>
      <b/>
      <sz val="10.5"/>
      <color rgb="FF5B6568"/>
      <name val="Arial"/>
      <charset val="1"/>
    </font>
    <font>
      <sz val="10.5"/>
      <color rgb="FF4B5A5F"/>
      <name val="Arial"/>
      <charset val="1"/>
    </font>
    <font>
      <b/>
      <sz val="10"/>
      <color rgb="FF1E2A2F"/>
      <name val="Arial"/>
      <charset val="1"/>
    </font>
    <font>
      <b/>
      <sz val="9.5"/>
      <color rgb="FFA8462B"/>
      <name val="Arial"/>
      <charset val="1"/>
    </font>
    <font>
      <sz val="10"/>
      <color rgb="FF1E2A2F"/>
      <name val="Arial"/>
      <charset val="1"/>
    </font>
    <font>
      <b/>
      <sz val="9.5"/>
      <color rgb="FF3B5B66"/>
      <name val="Arial"/>
      <charset val="1"/>
    </font>
    <font>
      <b/>
      <sz val="9.5"/>
      <color rgb="FF6B5FA8"/>
      <name val="Arial"/>
      <charset val="1"/>
    </font>
    <font>
      <b/>
      <sz val="9.5"/>
      <color rgb="FF3E6A50"/>
      <name val="Arial"/>
      <charset val="1"/>
    </font>
    <font>
      <b/>
      <sz val="9.5"/>
      <color rgb="FF5B6568"/>
      <name val="Arial"/>
      <charset val="1"/>
    </font>
    <font>
      <b/>
      <sz val="9.5"/>
      <color rgb="FF1E2A2F"/>
      <name val="Arial"/>
      <charset val="1"/>
    </font>
    <font>
      <sz val="9.5"/>
      <color rgb="FF1E2A2F"/>
      <name val="Arial"/>
      <charset val="1"/>
    </font>
    <font>
      <b/>
      <sz val="9"/>
      <color rgb="FFA8462B"/>
      <name val="Arial"/>
      <charset val="1"/>
    </font>
    <font>
      <b/>
      <sz val="9"/>
      <color rgb="FF3B5B66"/>
      <name val="Arial"/>
      <charset val="1"/>
    </font>
    <font>
      <b/>
      <sz val="9"/>
      <color rgb="FF6B5FA8"/>
      <name val="Arial"/>
      <charset val="1"/>
    </font>
    <font>
      <b/>
      <sz val="9"/>
      <color rgb="FF3E6A50"/>
      <name val="Arial"/>
      <charset val="1"/>
    </font>
    <font>
      <b/>
      <sz val="9"/>
      <color rgb="FF5B6568"/>
      <name val="Arial"/>
      <charset val="1"/>
    </font>
    <font>
      <b/>
      <sz val="11"/>
      <color rgb="FF1E2A2F"/>
      <name val="Arial"/>
      <charset val="1"/>
    </font>
    <font>
      <b/>
      <sz val="10.5"/>
      <color rgb="FFA8462B"/>
      <name val="Arial"/>
      <charset val="1"/>
    </font>
    <font>
      <b/>
      <sz val="10.5"/>
      <color rgb="FF3B5B66"/>
      <name val="Arial"/>
      <charset val="1"/>
    </font>
    <font>
      <b/>
      <sz val="10.5"/>
      <color rgb="FF6B5FA8"/>
      <name val="Arial"/>
      <charset val="1"/>
    </font>
    <font>
      <b/>
      <sz val="10.5"/>
      <color rgb="FF3E6A5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7232A"/>
        <bgColor rgb="FF1E2A2F"/>
      </patternFill>
    </fill>
    <fill>
      <patternFill patternType="solid">
        <fgColor rgb="FFF1F0E9"/>
        <bgColor rgb="FFF7F5EE"/>
      </patternFill>
    </fill>
    <fill>
      <patternFill patternType="solid">
        <fgColor rgb="FFF0DCDA"/>
        <bgColor rgb="FFF1DED3"/>
      </patternFill>
    </fill>
    <fill>
      <patternFill patternType="solid">
        <fgColor rgb="FFEFE4CC"/>
        <bgColor rgb="FFF1DED3"/>
      </patternFill>
    </fill>
    <fill>
      <patternFill patternType="solid">
        <fgColor rgb="FFE4E3DC"/>
        <bgColor rgb="FFDEE9E0"/>
      </patternFill>
    </fill>
    <fill>
      <patternFill patternType="solid">
        <fgColor rgb="FFF1DED3"/>
        <bgColor rgb="FFF0DCDA"/>
      </patternFill>
    </fill>
    <fill>
      <patternFill patternType="solid">
        <fgColor rgb="FFDCE6E8"/>
        <bgColor rgb="FFDEE9E0"/>
      </patternFill>
    </fill>
    <fill>
      <patternFill patternType="solid">
        <fgColor rgb="FFE3E0F0"/>
        <bgColor rgb="FFDCE6E8"/>
      </patternFill>
    </fill>
    <fill>
      <patternFill patternType="solid">
        <fgColor rgb="FFDEE9E0"/>
        <bgColor rgb="FFDCE6E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0DCDA"/>
      </patternFill>
    </fill>
  </fills>
  <borders count="2">
    <border>
      <left/>
      <right/>
      <top/>
      <bottom/>
      <diagonal/>
    </border>
    <border>
      <left style="thin">
        <color rgb="FFDBD7C9"/>
      </left>
      <right style="thin">
        <color rgb="FFDBD7C9"/>
      </right>
      <top style="thin">
        <color rgb="FFDBD7C9"/>
      </top>
      <bottom style="thin">
        <color rgb="FFDBD7C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0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0" fontId="6" fillId="3" borderId="1" xfId="0" applyFont="1" applyFill="1" applyBorder="1"/>
    <xf numFmtId="9" fontId="6" fillId="3" borderId="1" xfId="0" applyNumberFormat="1" applyFont="1" applyFill="1" applyBorder="1"/>
    <xf numFmtId="0" fontId="7" fillId="4" borderId="1" xfId="0" applyFont="1" applyFill="1" applyBorder="1"/>
    <xf numFmtId="0" fontId="5" fillId="0" borderId="1" xfId="0" applyFont="1" applyBorder="1" applyAlignment="1">
      <alignment horizontal="center"/>
    </xf>
    <xf numFmtId="0" fontId="8" fillId="5" borderId="1" xfId="0" applyFont="1" applyFill="1" applyBorder="1"/>
    <xf numFmtId="0" fontId="9" fillId="6" borderId="1" xfId="0" applyFont="1" applyFill="1" applyBorder="1"/>
    <xf numFmtId="0" fontId="11" fillId="0" borderId="1" xfId="0" applyFont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center"/>
    </xf>
    <xf numFmtId="0" fontId="14" fillId="8" borderId="1" xfId="0" applyFont="1" applyFill="1" applyBorder="1" applyAlignment="1">
      <alignment vertical="top" wrapText="1"/>
    </xf>
    <xf numFmtId="0" fontId="15" fillId="9" borderId="1" xfId="0" applyFont="1" applyFill="1" applyBorder="1" applyAlignment="1">
      <alignment vertical="top" wrapText="1"/>
    </xf>
    <xf numFmtId="0" fontId="16" fillId="10" borderId="1" xfId="0" applyFont="1" applyFill="1" applyBorder="1" applyAlignment="1">
      <alignment vertical="top" wrapText="1"/>
    </xf>
    <xf numFmtId="0" fontId="17" fillId="6" borderId="1" xfId="0" applyFont="1" applyFill="1" applyBorder="1" applyAlignment="1">
      <alignment vertical="top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7" borderId="1" xfId="0" applyFont="1" applyFill="1" applyBorder="1" applyAlignment="1">
      <alignment vertical="center" wrapText="1"/>
    </xf>
    <xf numFmtId="0" fontId="0" fillId="7" borderId="1" xfId="0" applyFill="1" applyBorder="1"/>
    <xf numFmtId="0" fontId="0" fillId="0" borderId="1" xfId="0" applyBorder="1"/>
    <xf numFmtId="0" fontId="21" fillId="8" borderId="1" xfId="0" applyFont="1" applyFill="1" applyBorder="1" applyAlignment="1">
      <alignment vertical="center" wrapText="1"/>
    </xf>
    <xf numFmtId="0" fontId="0" fillId="8" borderId="1" xfId="0" applyFill="1" applyBorder="1"/>
    <xf numFmtId="0" fontId="22" fillId="9" borderId="1" xfId="0" applyFont="1" applyFill="1" applyBorder="1" applyAlignment="1">
      <alignment vertical="center" wrapText="1"/>
    </xf>
    <xf numFmtId="0" fontId="0" fillId="9" borderId="1" xfId="0" applyFill="1" applyBorder="1"/>
    <xf numFmtId="0" fontId="23" fillId="10" borderId="1" xfId="0" applyFont="1" applyFill="1" applyBorder="1" applyAlignment="1">
      <alignment vertical="center" wrapText="1"/>
    </xf>
    <xf numFmtId="0" fontId="0" fillId="10" borderId="1" xfId="0" applyFill="1" applyBorder="1"/>
    <xf numFmtId="0" fontId="24" fillId="6" borderId="1" xfId="0" applyFont="1" applyFill="1" applyBorder="1" applyAlignment="1">
      <alignment vertical="center" wrapText="1"/>
    </xf>
    <xf numFmtId="0" fontId="0" fillId="6" borderId="1" xfId="0" applyFill="1" applyBorder="1"/>
    <xf numFmtId="0" fontId="25" fillId="0" borderId="0" xfId="0" applyFont="1"/>
    <xf numFmtId="0" fontId="26" fillId="7" borderId="1" xfId="0" applyFont="1" applyFill="1" applyBorder="1"/>
    <xf numFmtId="0" fontId="27" fillId="8" borderId="1" xfId="0" applyFont="1" applyFill="1" applyBorder="1"/>
    <xf numFmtId="0" fontId="28" fillId="9" borderId="1" xfId="0" applyFont="1" applyFill="1" applyBorder="1"/>
    <xf numFmtId="0" fontId="29" fillId="10" borderId="1" xfId="0" applyFont="1" applyFill="1" applyBorder="1"/>
    <xf numFmtId="0" fontId="11" fillId="11" borderId="1" xfId="0" applyFont="1" applyFill="1" applyBorder="1" applyAlignment="1">
      <alignment vertical="top" wrapText="1"/>
    </xf>
    <xf numFmtId="0" fontId="12" fillId="12" borderId="1" xfId="0" applyFont="1" applyFill="1" applyBorder="1" applyAlignment="1">
      <alignment vertical="top" wrapText="1"/>
    </xf>
    <xf numFmtId="0" fontId="13" fillId="11" borderId="1" xfId="0" applyFont="1" applyFill="1" applyBorder="1" applyAlignment="1">
      <alignment vertical="top" wrapText="1"/>
    </xf>
    <xf numFmtId="0" fontId="13" fillId="11" borderId="1" xfId="0" applyFont="1" applyFill="1" applyBorder="1" applyAlignment="1">
      <alignment horizontal="center" vertical="center"/>
    </xf>
    <xf numFmtId="0" fontId="0" fillId="11" borderId="0" xfId="0" applyFill="1"/>
  </cellXfs>
  <cellStyles count="1">
    <cellStyle name="Normal" xfId="0" builtinId="0"/>
  </cellStyles>
  <dxfs count="12">
    <dxf>
      <font>
        <b/>
        <sz val="10"/>
        <color rgb="FF9B3B3B"/>
        <name val="Arial"/>
        <charset val="1"/>
      </font>
    </dxf>
    <dxf>
      <font>
        <b/>
        <sz val="10"/>
        <color rgb="FF3E6A50"/>
        <name val="Arial"/>
        <charset val="1"/>
      </font>
    </dxf>
    <dxf>
      <font>
        <b/>
        <sz val="10"/>
        <color rgb="FF9C7327"/>
        <name val="Arial"/>
        <charset val="1"/>
      </font>
    </dxf>
    <dxf>
      <font>
        <b/>
        <sz val="10"/>
        <color rgb="FF7C8A8E"/>
        <name val="Arial"/>
        <charset val="1"/>
      </font>
    </dxf>
    <dxf>
      <font>
        <b/>
        <sz val="10"/>
        <color rgb="FF5B6568"/>
        <name val="Arial"/>
        <charset val="1"/>
      </font>
      <fill>
        <patternFill>
          <bgColor rgb="FFE4E3DC"/>
        </patternFill>
      </fill>
    </dxf>
    <dxf>
      <font>
        <b/>
        <sz val="10"/>
        <color rgb="FF9C7327"/>
        <name val="Arial"/>
        <charset val="1"/>
      </font>
      <fill>
        <patternFill>
          <bgColor rgb="FFEFE4CC"/>
        </patternFill>
      </fill>
    </dxf>
    <dxf>
      <font>
        <b/>
        <sz val="10"/>
        <color rgb="FF9B3B3B"/>
        <name val="Arial"/>
        <charset val="1"/>
      </font>
      <fill>
        <patternFill>
          <bgColor rgb="FFF0DCDA"/>
        </patternFill>
      </fill>
    </dxf>
    <dxf>
      <font>
        <b/>
        <sz val="9"/>
        <color rgb="FF5B6568"/>
        <name val="Arial"/>
        <charset val="1"/>
      </font>
      <fill>
        <patternFill>
          <bgColor rgb="FFE4E3DC"/>
        </patternFill>
      </fill>
    </dxf>
    <dxf>
      <font>
        <b/>
        <sz val="9"/>
        <color rgb="FF3E6A50"/>
        <name val="Arial"/>
        <charset val="1"/>
      </font>
      <fill>
        <patternFill>
          <bgColor rgb="FFDEE9E0"/>
        </patternFill>
      </fill>
    </dxf>
    <dxf>
      <font>
        <b/>
        <sz val="9"/>
        <color rgb="FF6B5FA8"/>
        <name val="Arial"/>
        <charset val="1"/>
      </font>
      <fill>
        <patternFill>
          <bgColor rgb="FFE3E0F0"/>
        </patternFill>
      </fill>
    </dxf>
    <dxf>
      <font>
        <b/>
        <sz val="9"/>
        <color rgb="FF3B5B66"/>
        <name val="Arial"/>
        <charset val="1"/>
      </font>
      <fill>
        <patternFill>
          <bgColor rgb="FFDCE6E8"/>
        </patternFill>
      </fill>
    </dxf>
    <dxf>
      <font>
        <b/>
        <sz val="9"/>
        <color rgb="FFA8462B"/>
        <name val="Arial"/>
        <charset val="1"/>
      </font>
      <fill>
        <patternFill>
          <bgColor rgb="FFF1DED3"/>
        </patternFill>
      </fill>
    </dxf>
  </dxfs>
  <tableStyles count="0" defaultTableStyle="TableStyleMedium2" defaultPivotStyle="PivotStyleLight16"/>
  <colors>
    <indexedColors>
      <rgbColor rgb="FF000000"/>
      <rgbColor rgb="FFF7F5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327"/>
      <rgbColor rgb="FF800080"/>
      <rgbColor rgb="FF008080"/>
      <rgbColor rgb="FFDBD7C9"/>
      <rgbColor rgb="FF7C8A8E"/>
      <rgbColor rgb="FF9999FF"/>
      <rgbColor rgb="FF9B3B3B"/>
      <rgbColor rgb="FFF1F0E9"/>
      <rgbColor rgb="FFDCE6E8"/>
      <rgbColor rgb="FF660066"/>
      <rgbColor rgb="FFFF8080"/>
      <rgbColor rgb="FF0066CC"/>
      <rgbColor rgb="FFE3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3DC"/>
      <rgbColor rgb="FFDEE9E0"/>
      <rgbColor rgb="FFEFE4CC"/>
      <rgbColor rgb="FFF0DCDA"/>
      <rgbColor rgb="FFFF99CC"/>
      <rgbColor rgb="FFCC99FF"/>
      <rgbColor rgb="FFF1DED3"/>
      <rgbColor rgb="FF3366FF"/>
      <rgbColor rgb="FF33CCCC"/>
      <rgbColor rgb="FF99CC00"/>
      <rgbColor rgb="FFFFCC00"/>
      <rgbColor rgb="FFFF9900"/>
      <rgbColor rgb="FFFF6600"/>
      <rgbColor rgb="FF6B5FA8"/>
      <rgbColor rgb="FF969696"/>
      <rgbColor rgb="FF003366"/>
      <rgbColor rgb="FF3E6A50"/>
      <rgbColor rgb="FF17232A"/>
      <rgbColor rgb="FF4B5A5F"/>
      <rgbColor rgb="FFA8462B"/>
      <rgbColor rgb="FF5B6568"/>
      <rgbColor rgb="FF3B5B66"/>
      <rgbColor rgb="FF1E2A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4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2" customWidth="1"/>
    <col min="2" max="2" width="20" customWidth="1"/>
    <col min="3" max="3" width="12" customWidth="1"/>
    <col min="4" max="4" width="10" customWidth="1"/>
    <col min="5" max="5" width="9" customWidth="1"/>
    <col min="6" max="6" width="12" customWidth="1"/>
  </cols>
  <sheetData>
    <row r="2" spans="2:10" ht="20.25" x14ac:dyDescent="0.3">
      <c r="B2" s="4" t="s">
        <v>0</v>
      </c>
      <c r="C2" s="4"/>
      <c r="D2" s="4"/>
      <c r="E2" s="4"/>
      <c r="F2" s="4"/>
      <c r="G2" s="4"/>
      <c r="H2" s="4"/>
      <c r="I2" s="4"/>
      <c r="J2" s="4"/>
    </row>
    <row r="3" spans="2:10" ht="42" customHeight="1" x14ac:dyDescent="0.25">
      <c r="B3" s="3" t="s">
        <v>1</v>
      </c>
      <c r="C3" s="3"/>
      <c r="D3" s="3"/>
      <c r="E3" s="3"/>
      <c r="F3" s="3"/>
      <c r="G3" s="3"/>
      <c r="H3" s="3"/>
      <c r="I3" s="3"/>
      <c r="J3" s="3"/>
    </row>
    <row r="4" spans="2:10" x14ac:dyDescent="0.25">
      <c r="B4" s="3"/>
      <c r="C4" s="3"/>
      <c r="D4" s="3"/>
      <c r="E4" s="3"/>
      <c r="F4" s="3"/>
      <c r="G4" s="3"/>
      <c r="H4" s="3"/>
      <c r="I4" s="3"/>
      <c r="J4" s="3"/>
    </row>
    <row r="7" spans="2:10" ht="16.5" x14ac:dyDescent="0.25">
      <c r="B7" s="2" t="s">
        <v>2</v>
      </c>
      <c r="C7" s="2"/>
      <c r="D7" s="2"/>
      <c r="E7" s="2"/>
      <c r="F7" s="2"/>
    </row>
    <row r="8" spans="2:10" ht="30" x14ac:dyDescent="0.25"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</row>
    <row r="9" spans="2:10" x14ac:dyDescent="0.25">
      <c r="B9" s="7" t="s">
        <v>8</v>
      </c>
      <c r="C9" s="7">
        <f>COUNTIF('Phase 1 Tasks'!$B:$B,"Brand")</f>
        <v>5</v>
      </c>
      <c r="D9" s="7">
        <f>COUNTIFS('Phase 1 Tasks'!$B:$B,"Brand",'Phase 1 Tasks'!$E:$E,"P0 - Critical")</f>
        <v>2</v>
      </c>
      <c r="E9" s="7">
        <f>COUNTIFS('Phase 1 Tasks'!$B:$B,"Brand",'Phase 1 Tasks'!$M:$M,"Done")</f>
        <v>0</v>
      </c>
      <c r="F9" s="8">
        <f t="shared" ref="F9:F14" si="0">IF(C9=0,0,E9/C9)</f>
        <v>0</v>
      </c>
    </row>
    <row r="10" spans="2:10" x14ac:dyDescent="0.25">
      <c r="B10" s="7" t="s">
        <v>9</v>
      </c>
      <c r="C10" s="7">
        <f>COUNTIF('Phase 1 Tasks'!$B:$B,"Design System")</f>
        <v>6</v>
      </c>
      <c r="D10" s="7">
        <f>COUNTIFS('Phase 1 Tasks'!$B:$B,"Design System",'Phase 1 Tasks'!$E:$E,"P0 - Critical")</f>
        <v>4</v>
      </c>
      <c r="E10" s="7">
        <f>COUNTIFS('Phase 1 Tasks'!$B:$B,"Design System",'Phase 1 Tasks'!$M:$M,"Done")</f>
        <v>3</v>
      </c>
      <c r="F10" s="8">
        <f t="shared" si="0"/>
        <v>0.5</v>
      </c>
    </row>
    <row r="11" spans="2:10" x14ac:dyDescent="0.25">
      <c r="B11" s="7" t="s">
        <v>10</v>
      </c>
      <c r="C11" s="7">
        <f>COUNTIF('Phase 1 Tasks'!$B:$B,"Messaging &amp; CTA")</f>
        <v>20</v>
      </c>
      <c r="D11" s="7">
        <f>COUNTIFS('Phase 1 Tasks'!$B:$B,"Messaging &amp; CTA",'Phase 1 Tasks'!$E:$E,"P0 - Critical")</f>
        <v>9</v>
      </c>
      <c r="E11" s="7">
        <f>COUNTIFS('Phase 1 Tasks'!$B:$B,"Messaging &amp; CTA",'Phase 1 Tasks'!$M:$M,"Done")</f>
        <v>0</v>
      </c>
      <c r="F11" s="8">
        <f t="shared" si="0"/>
        <v>0</v>
      </c>
    </row>
    <row r="12" spans="2:10" x14ac:dyDescent="0.25">
      <c r="B12" s="7" t="s">
        <v>11</v>
      </c>
      <c r="C12" s="7">
        <f>COUNTIF('Phase 1 Tasks'!$B:$B,"Pricing &amp; Credits")</f>
        <v>3</v>
      </c>
      <c r="D12" s="7">
        <f>COUNTIFS('Phase 1 Tasks'!$B:$B,"Pricing &amp; Credits",'Phase 1 Tasks'!$E:$E,"P0 - Critical")</f>
        <v>2</v>
      </c>
      <c r="E12" s="7">
        <f>COUNTIFS('Phase 1 Tasks'!$B:$B,"Pricing &amp; Credits",'Phase 1 Tasks'!$M:$M,"Done")</f>
        <v>0</v>
      </c>
      <c r="F12" s="8">
        <f t="shared" si="0"/>
        <v>0</v>
      </c>
    </row>
    <row r="13" spans="2:10" x14ac:dyDescent="0.25">
      <c r="B13" s="7" t="s">
        <v>12</v>
      </c>
      <c r="C13" s="7">
        <f>COUNTIF('Phase 1 Tasks'!$B:$B,"Wrap-up")</f>
        <v>2</v>
      </c>
      <c r="D13" s="7">
        <f>COUNTIFS('Phase 1 Tasks'!$B:$B,"Wrap-up",'Phase 1 Tasks'!$E:$E,"P0 - Critical")</f>
        <v>1</v>
      </c>
      <c r="E13" s="7">
        <f>COUNTIFS('Phase 1 Tasks'!$B:$B,"Wrap-up",'Phase 1 Tasks'!$M:$M,"Done")</f>
        <v>0</v>
      </c>
      <c r="F13" s="8">
        <f t="shared" si="0"/>
        <v>0</v>
      </c>
    </row>
    <row r="14" spans="2:10" x14ac:dyDescent="0.25">
      <c r="B14" s="9" t="s">
        <v>13</v>
      </c>
      <c r="C14" s="9">
        <f>SUM(C9:C13)</f>
        <v>36</v>
      </c>
      <c r="D14" s="9">
        <f>SUM(D9:D13)</f>
        <v>18</v>
      </c>
      <c r="E14" s="9">
        <f>SUM(E9:E13)</f>
        <v>3</v>
      </c>
      <c r="F14" s="10">
        <f t="shared" si="0"/>
        <v>8.3333333333333329E-2</v>
      </c>
    </row>
    <row r="17" spans="2:8" ht="16.5" x14ac:dyDescent="0.25">
      <c r="B17" s="2" t="s">
        <v>14</v>
      </c>
      <c r="C17" s="2"/>
      <c r="D17" s="2"/>
    </row>
    <row r="18" spans="2:8" ht="30" x14ac:dyDescent="0.25">
      <c r="B18" s="6" t="s">
        <v>15</v>
      </c>
      <c r="C18" s="6" t="s">
        <v>16</v>
      </c>
      <c r="D18" s="6" t="s">
        <v>6</v>
      </c>
    </row>
    <row r="19" spans="2:8" x14ac:dyDescent="0.25">
      <c r="B19" s="11" t="s">
        <v>17</v>
      </c>
      <c r="C19" s="12">
        <f>COUNTIF('Phase 1 Tasks'!$E:$E,"P0 - Critical")</f>
        <v>18</v>
      </c>
      <c r="D19" s="12">
        <f>COUNTIFS('Phase 1 Tasks'!$E:$E,"P0 - Critical",'Phase 1 Tasks'!$M:$M,"Done")</f>
        <v>2</v>
      </c>
    </row>
    <row r="20" spans="2:8" x14ac:dyDescent="0.25">
      <c r="B20" s="13" t="s">
        <v>18</v>
      </c>
      <c r="C20" s="12">
        <f>COUNTIF('Phase 1 Tasks'!$E:$E,"P1 - High")</f>
        <v>11</v>
      </c>
      <c r="D20" s="12">
        <f>COUNTIFS('Phase 1 Tasks'!$E:$E,"P1 - High",'Phase 1 Tasks'!$M:$M,"Done")</f>
        <v>1</v>
      </c>
    </row>
    <row r="21" spans="2:8" x14ac:dyDescent="0.25">
      <c r="B21" s="14" t="s">
        <v>19</v>
      </c>
      <c r="C21" s="12">
        <f>COUNTIF('Phase 1 Tasks'!$E:$E,"P2 - Medium")</f>
        <v>7</v>
      </c>
      <c r="D21" s="12">
        <f>COUNTIFS('Phase 1 Tasks'!$E:$E,"P2 - Medium",'Phase 1 Tasks'!$M:$M,"Done")</f>
        <v>0</v>
      </c>
    </row>
    <row r="25" spans="2:8" ht="16.5" x14ac:dyDescent="0.25">
      <c r="B25" s="2" t="s">
        <v>20</v>
      </c>
      <c r="C25" s="2"/>
      <c r="D25" s="2"/>
      <c r="E25" s="2"/>
      <c r="F25" s="2"/>
      <c r="G25" s="2"/>
      <c r="H25" s="2"/>
    </row>
    <row r="26" spans="2:8" ht="15" customHeight="1" x14ac:dyDescent="0.25">
      <c r="B26" s="1" t="s">
        <v>21</v>
      </c>
      <c r="C26" s="1"/>
      <c r="D26" s="1"/>
      <c r="E26" s="1"/>
      <c r="F26" s="1"/>
      <c r="G26" s="1"/>
      <c r="H26" s="1"/>
    </row>
    <row r="27" spans="2:8" ht="25.35" customHeight="1" x14ac:dyDescent="0.25">
      <c r="B27" s="1" t="s">
        <v>22</v>
      </c>
      <c r="C27" s="1"/>
      <c r="D27" s="1"/>
      <c r="E27" s="1"/>
      <c r="F27" s="1"/>
      <c r="G27" s="1"/>
      <c r="H27" s="1"/>
    </row>
    <row r="28" spans="2:8" ht="15" customHeight="1" x14ac:dyDescent="0.25">
      <c r="B28" s="1" t="s">
        <v>23</v>
      </c>
      <c r="C28" s="1"/>
      <c r="D28" s="1"/>
      <c r="E28" s="1"/>
      <c r="F28" s="1"/>
      <c r="G28" s="1"/>
      <c r="H28" s="1"/>
    </row>
    <row r="29" spans="2:8" ht="15" customHeight="1" x14ac:dyDescent="0.25">
      <c r="B29" s="1" t="s">
        <v>24</v>
      </c>
      <c r="C29" s="1"/>
      <c r="D29" s="1"/>
      <c r="E29" s="1"/>
      <c r="F29" s="1"/>
      <c r="G29" s="1"/>
      <c r="H29" s="1"/>
    </row>
    <row r="30" spans="2:8" ht="25.35" customHeight="1" x14ac:dyDescent="0.25">
      <c r="B30" s="1" t="s">
        <v>25</v>
      </c>
      <c r="C30" s="1"/>
      <c r="D30" s="1"/>
      <c r="E30" s="1"/>
      <c r="F30" s="1"/>
      <c r="G30" s="1"/>
      <c r="H30" s="1"/>
    </row>
    <row r="31" spans="2:8" ht="15" customHeight="1" x14ac:dyDescent="0.25">
      <c r="B31" s="1" t="s">
        <v>26</v>
      </c>
      <c r="C31" s="1"/>
      <c r="D31" s="1"/>
      <c r="E31" s="1"/>
      <c r="F31" s="1"/>
      <c r="G31" s="1"/>
      <c r="H31" s="1"/>
    </row>
    <row r="32" spans="2:8" ht="15" customHeight="1" x14ac:dyDescent="0.25">
      <c r="B32" s="1" t="s">
        <v>27</v>
      </c>
      <c r="C32" s="1"/>
      <c r="D32" s="1"/>
      <c r="E32" s="1"/>
      <c r="F32" s="1"/>
      <c r="G32" s="1"/>
      <c r="H32" s="1"/>
    </row>
    <row r="33" spans="2:8" ht="15" customHeight="1" x14ac:dyDescent="0.25">
      <c r="B33" s="1" t="s">
        <v>28</v>
      </c>
      <c r="C33" s="1"/>
      <c r="D33" s="1"/>
      <c r="E33" s="1"/>
      <c r="F33" s="1"/>
      <c r="G33" s="1"/>
      <c r="H33" s="1"/>
    </row>
    <row r="34" spans="2:8" ht="15" customHeight="1" x14ac:dyDescent="0.25">
      <c r="B34" s="1" t="s">
        <v>29</v>
      </c>
      <c r="C34" s="1"/>
      <c r="D34" s="1"/>
      <c r="E34" s="1"/>
      <c r="F34" s="1"/>
      <c r="G34" s="1"/>
      <c r="H34" s="1"/>
    </row>
  </sheetData>
  <mergeCells count="14">
    <mergeCell ref="B31:H31"/>
    <mergeCell ref="B32:H32"/>
    <mergeCell ref="B33:H33"/>
    <mergeCell ref="B34:H34"/>
    <mergeCell ref="B26:H26"/>
    <mergeCell ref="B27:H27"/>
    <mergeCell ref="B28:H28"/>
    <mergeCell ref="B29:H29"/>
    <mergeCell ref="B30:H30"/>
    <mergeCell ref="B2:J2"/>
    <mergeCell ref="B3:J4"/>
    <mergeCell ref="B7:F7"/>
    <mergeCell ref="B17:D17"/>
    <mergeCell ref="B25:H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showGridLines="0" tabSelected="1" zoomScaleNormal="100" workbookViewId="0">
      <pane ySplit="1" topLeftCell="A8" activePane="bottomLeft" state="frozen"/>
      <selection pane="bottomLeft" activeCell="M7" sqref="M7"/>
    </sheetView>
  </sheetViews>
  <sheetFormatPr defaultColWidth="8.7109375" defaultRowHeight="15" x14ac:dyDescent="0.25"/>
  <cols>
    <col min="1" max="1" width="7" customWidth="1"/>
    <col min="2" max="2" width="17" customWidth="1"/>
    <col min="3" max="3" width="20" customWidth="1"/>
    <col min="4" max="4" width="46" customWidth="1"/>
    <col min="5" max="5" width="13" customWidth="1"/>
    <col min="6" max="6" width="16" customWidth="1"/>
    <col min="7" max="7" width="8" customWidth="1"/>
    <col min="8" max="8" width="9" customWidth="1"/>
    <col min="9" max="9" width="8" customWidth="1"/>
    <col min="10" max="11" width="12" customWidth="1"/>
    <col min="12" max="12" width="42" customWidth="1"/>
    <col min="13" max="13" width="13" customWidth="1"/>
  </cols>
  <sheetData>
    <row r="1" spans="1:13" ht="30" x14ac:dyDescent="0.25">
      <c r="A1" s="6" t="s">
        <v>30</v>
      </c>
      <c r="B1" s="6" t="s">
        <v>3</v>
      </c>
      <c r="C1" s="6" t="s">
        <v>31</v>
      </c>
      <c r="D1" s="6" t="s">
        <v>32</v>
      </c>
      <c r="E1" s="6" t="s">
        <v>15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</row>
    <row r="2" spans="1:13" s="45" customFormat="1" ht="25.5" x14ac:dyDescent="0.25">
      <c r="A2" s="41" t="s">
        <v>41</v>
      </c>
      <c r="B2" s="42" t="s">
        <v>8</v>
      </c>
      <c r="C2" s="43" t="s">
        <v>42</v>
      </c>
      <c r="D2" s="43" t="s">
        <v>43</v>
      </c>
      <c r="E2" s="43" t="s">
        <v>17</v>
      </c>
      <c r="F2" s="43" t="s">
        <v>44</v>
      </c>
      <c r="G2" s="43" t="s">
        <v>45</v>
      </c>
      <c r="H2" s="44">
        <v>1</v>
      </c>
      <c r="I2" s="44">
        <v>1</v>
      </c>
      <c r="J2" s="44">
        <f t="shared" ref="J2:J37" si="0">I2-H2+1</f>
        <v>1</v>
      </c>
      <c r="K2" s="43" t="s">
        <v>46</v>
      </c>
      <c r="L2" s="43" t="s">
        <v>47</v>
      </c>
      <c r="M2" s="43" t="s">
        <v>194</v>
      </c>
    </row>
    <row r="3" spans="1:13" x14ac:dyDescent="0.25">
      <c r="A3" s="15" t="s">
        <v>49</v>
      </c>
      <c r="B3" s="16" t="s">
        <v>8</v>
      </c>
      <c r="C3" s="17" t="s">
        <v>42</v>
      </c>
      <c r="D3" s="17" t="s">
        <v>50</v>
      </c>
      <c r="E3" s="17" t="s">
        <v>17</v>
      </c>
      <c r="F3" s="17" t="s">
        <v>44</v>
      </c>
      <c r="G3" s="17" t="s">
        <v>45</v>
      </c>
      <c r="H3" s="18">
        <v>1</v>
      </c>
      <c r="I3" s="18">
        <v>2</v>
      </c>
      <c r="J3" s="18">
        <f t="shared" si="0"/>
        <v>2</v>
      </c>
      <c r="K3" s="17" t="s">
        <v>41</v>
      </c>
      <c r="L3" s="17" t="s">
        <v>51</v>
      </c>
      <c r="M3" s="17" t="s">
        <v>194</v>
      </c>
    </row>
    <row r="4" spans="1:13" x14ac:dyDescent="0.25">
      <c r="A4" s="15" t="s">
        <v>52</v>
      </c>
      <c r="B4" s="16" t="s">
        <v>8</v>
      </c>
      <c r="C4" s="17" t="s">
        <v>42</v>
      </c>
      <c r="D4" s="17" t="s">
        <v>53</v>
      </c>
      <c r="E4" s="17" t="s">
        <v>18</v>
      </c>
      <c r="F4" s="17" t="s">
        <v>44</v>
      </c>
      <c r="G4" s="17" t="s">
        <v>45</v>
      </c>
      <c r="H4" s="18">
        <v>2</v>
      </c>
      <c r="I4" s="18">
        <v>2</v>
      </c>
      <c r="J4" s="18">
        <f t="shared" si="0"/>
        <v>1</v>
      </c>
      <c r="K4" s="17" t="s">
        <v>49</v>
      </c>
      <c r="L4" s="17" t="s">
        <v>54</v>
      </c>
      <c r="M4" s="17" t="s">
        <v>48</v>
      </c>
    </row>
    <row r="5" spans="1:13" x14ac:dyDescent="0.25">
      <c r="A5" s="15" t="s">
        <v>55</v>
      </c>
      <c r="B5" s="16" t="s">
        <v>8</v>
      </c>
      <c r="C5" s="17" t="s">
        <v>42</v>
      </c>
      <c r="D5" s="17" t="s">
        <v>56</v>
      </c>
      <c r="E5" s="17" t="s">
        <v>18</v>
      </c>
      <c r="F5" s="17" t="s">
        <v>44</v>
      </c>
      <c r="G5" s="17" t="s">
        <v>45</v>
      </c>
      <c r="H5" s="18">
        <v>2</v>
      </c>
      <c r="I5" s="18">
        <v>2</v>
      </c>
      <c r="J5" s="18">
        <f t="shared" si="0"/>
        <v>1</v>
      </c>
      <c r="K5" s="17" t="s">
        <v>49</v>
      </c>
      <c r="L5" s="17" t="s">
        <v>57</v>
      </c>
      <c r="M5" s="17" t="s">
        <v>48</v>
      </c>
    </row>
    <row r="6" spans="1:13" ht="25.5" x14ac:dyDescent="0.25">
      <c r="A6" s="15" t="s">
        <v>58</v>
      </c>
      <c r="B6" s="16" t="s">
        <v>8</v>
      </c>
      <c r="C6" s="17" t="s">
        <v>42</v>
      </c>
      <c r="D6" s="17" t="s">
        <v>59</v>
      </c>
      <c r="E6" s="17" t="s">
        <v>19</v>
      </c>
      <c r="F6" s="17" t="s">
        <v>44</v>
      </c>
      <c r="G6" s="17" t="s">
        <v>45</v>
      </c>
      <c r="H6" s="18">
        <v>2</v>
      </c>
      <c r="I6" s="18">
        <v>2</v>
      </c>
      <c r="J6" s="18">
        <f t="shared" si="0"/>
        <v>1</v>
      </c>
      <c r="K6" s="17" t="s">
        <v>49</v>
      </c>
      <c r="L6" s="17" t="s">
        <v>60</v>
      </c>
      <c r="M6" s="17" t="s">
        <v>48</v>
      </c>
    </row>
    <row r="7" spans="1:13" ht="25.5" x14ac:dyDescent="0.25">
      <c r="A7" s="15" t="s">
        <v>61</v>
      </c>
      <c r="B7" s="19" t="s">
        <v>9</v>
      </c>
      <c r="C7" s="17" t="s">
        <v>62</v>
      </c>
      <c r="D7" s="17" t="s">
        <v>63</v>
      </c>
      <c r="E7" s="17" t="s">
        <v>17</v>
      </c>
      <c r="F7" s="17" t="s">
        <v>64</v>
      </c>
      <c r="G7" s="17" t="s">
        <v>45</v>
      </c>
      <c r="H7" s="18">
        <v>1</v>
      </c>
      <c r="I7" s="18">
        <v>2</v>
      </c>
      <c r="J7" s="18">
        <f t="shared" si="0"/>
        <v>2</v>
      </c>
      <c r="K7" s="17" t="s">
        <v>46</v>
      </c>
      <c r="L7" s="17" t="s">
        <v>65</v>
      </c>
      <c r="M7" s="17" t="s">
        <v>6</v>
      </c>
    </row>
    <row r="8" spans="1:13" ht="25.5" x14ac:dyDescent="0.25">
      <c r="A8" s="15" t="s">
        <v>66</v>
      </c>
      <c r="B8" s="19" t="s">
        <v>9</v>
      </c>
      <c r="C8" s="17" t="s">
        <v>62</v>
      </c>
      <c r="D8" s="17" t="s">
        <v>67</v>
      </c>
      <c r="E8" s="17" t="s">
        <v>17</v>
      </c>
      <c r="F8" s="17" t="s">
        <v>68</v>
      </c>
      <c r="G8" s="17" t="s">
        <v>45</v>
      </c>
      <c r="H8" s="18">
        <v>2</v>
      </c>
      <c r="I8" s="18">
        <v>3</v>
      </c>
      <c r="J8" s="18">
        <f t="shared" si="0"/>
        <v>2</v>
      </c>
      <c r="K8" s="17" t="s">
        <v>61</v>
      </c>
      <c r="L8" s="17" t="s">
        <v>69</v>
      </c>
      <c r="M8" s="17" t="s">
        <v>6</v>
      </c>
    </row>
    <row r="9" spans="1:13" x14ac:dyDescent="0.25">
      <c r="A9" s="15" t="s">
        <v>70</v>
      </c>
      <c r="B9" s="19" t="s">
        <v>9</v>
      </c>
      <c r="C9" s="17" t="s">
        <v>62</v>
      </c>
      <c r="D9" s="17" t="s">
        <v>71</v>
      </c>
      <c r="E9" s="17" t="s">
        <v>18</v>
      </c>
      <c r="F9" s="17" t="s">
        <v>64</v>
      </c>
      <c r="G9" s="17" t="s">
        <v>45</v>
      </c>
      <c r="H9" s="18">
        <v>3</v>
      </c>
      <c r="I9" s="18">
        <v>3</v>
      </c>
      <c r="J9" s="18">
        <f t="shared" si="0"/>
        <v>1</v>
      </c>
      <c r="K9" s="17" t="s">
        <v>66</v>
      </c>
      <c r="L9" s="17" t="s">
        <v>72</v>
      </c>
      <c r="M9" s="17" t="s">
        <v>6</v>
      </c>
    </row>
    <row r="10" spans="1:13" ht="25.5" x14ac:dyDescent="0.25">
      <c r="A10" s="15" t="s">
        <v>73</v>
      </c>
      <c r="B10" s="19" t="s">
        <v>9</v>
      </c>
      <c r="C10" s="17" t="s">
        <v>62</v>
      </c>
      <c r="D10" s="17" t="s">
        <v>74</v>
      </c>
      <c r="E10" s="17" t="s">
        <v>17</v>
      </c>
      <c r="F10" s="17" t="s">
        <v>64</v>
      </c>
      <c r="G10" s="17" t="s">
        <v>45</v>
      </c>
      <c r="H10" s="18">
        <v>3</v>
      </c>
      <c r="I10" s="18">
        <v>4</v>
      </c>
      <c r="J10" s="18">
        <f t="shared" si="0"/>
        <v>2</v>
      </c>
      <c r="K10" s="17" t="s">
        <v>70</v>
      </c>
      <c r="L10" s="17" t="s">
        <v>75</v>
      </c>
      <c r="M10" s="17" t="s">
        <v>194</v>
      </c>
    </row>
    <row r="11" spans="1:13" ht="25.5" x14ac:dyDescent="0.25">
      <c r="A11" s="15" t="s">
        <v>76</v>
      </c>
      <c r="B11" s="19" t="s">
        <v>9</v>
      </c>
      <c r="C11" s="17" t="s">
        <v>62</v>
      </c>
      <c r="D11" s="17" t="s">
        <v>77</v>
      </c>
      <c r="E11" s="17" t="s">
        <v>17</v>
      </c>
      <c r="F11" s="17" t="s">
        <v>64</v>
      </c>
      <c r="G11" s="17" t="s">
        <v>78</v>
      </c>
      <c r="H11" s="18">
        <v>6</v>
      </c>
      <c r="I11" s="18">
        <v>8</v>
      </c>
      <c r="J11" s="18">
        <f t="shared" si="0"/>
        <v>3</v>
      </c>
      <c r="K11" s="17" t="s">
        <v>73</v>
      </c>
      <c r="L11" s="17" t="s">
        <v>79</v>
      </c>
      <c r="M11" s="17" t="s">
        <v>194</v>
      </c>
    </row>
    <row r="12" spans="1:13" ht="25.5" x14ac:dyDescent="0.25">
      <c r="A12" s="15" t="s">
        <v>80</v>
      </c>
      <c r="B12" s="19" t="s">
        <v>9</v>
      </c>
      <c r="C12" s="17" t="s">
        <v>62</v>
      </c>
      <c r="D12" s="17" t="s">
        <v>81</v>
      </c>
      <c r="E12" s="17" t="s">
        <v>18</v>
      </c>
      <c r="F12" s="17" t="s">
        <v>68</v>
      </c>
      <c r="G12" s="17" t="s">
        <v>78</v>
      </c>
      <c r="H12" s="18">
        <v>8</v>
      </c>
      <c r="I12" s="18">
        <v>9</v>
      </c>
      <c r="J12" s="18">
        <f t="shared" si="0"/>
        <v>2</v>
      </c>
      <c r="K12" s="17" t="s">
        <v>76</v>
      </c>
      <c r="L12" s="17" t="s">
        <v>82</v>
      </c>
      <c r="M12" s="17" t="s">
        <v>194</v>
      </c>
    </row>
    <row r="13" spans="1:13" ht="25.5" x14ac:dyDescent="0.25">
      <c r="A13" s="15" t="s">
        <v>83</v>
      </c>
      <c r="B13" s="20" t="s">
        <v>10</v>
      </c>
      <c r="C13" s="17" t="s">
        <v>84</v>
      </c>
      <c r="D13" s="17" t="s">
        <v>85</v>
      </c>
      <c r="E13" s="17" t="s">
        <v>17</v>
      </c>
      <c r="F13" s="17" t="s">
        <v>86</v>
      </c>
      <c r="G13" s="17" t="s">
        <v>45</v>
      </c>
      <c r="H13" s="18">
        <v>1</v>
      </c>
      <c r="I13" s="18">
        <v>1</v>
      </c>
      <c r="J13" s="18">
        <f t="shared" si="0"/>
        <v>1</v>
      </c>
      <c r="K13" s="17" t="s">
        <v>46</v>
      </c>
      <c r="L13" s="17" t="s">
        <v>87</v>
      </c>
      <c r="M13" s="17" t="s">
        <v>48</v>
      </c>
    </row>
    <row r="14" spans="1:13" x14ac:dyDescent="0.25">
      <c r="A14" s="15" t="s">
        <v>88</v>
      </c>
      <c r="B14" s="20" t="s">
        <v>10</v>
      </c>
      <c r="C14" s="17" t="s">
        <v>84</v>
      </c>
      <c r="D14" s="17" t="s">
        <v>89</v>
      </c>
      <c r="E14" s="17" t="s">
        <v>18</v>
      </c>
      <c r="F14" s="17" t="s">
        <v>90</v>
      </c>
      <c r="G14" s="17" t="s">
        <v>45</v>
      </c>
      <c r="H14" s="18">
        <v>1</v>
      </c>
      <c r="I14" s="18">
        <v>2</v>
      </c>
      <c r="J14" s="18">
        <f t="shared" si="0"/>
        <v>2</v>
      </c>
      <c r="K14" s="17" t="s">
        <v>83</v>
      </c>
      <c r="L14" s="17" t="s">
        <v>91</v>
      </c>
      <c r="M14" s="17" t="s">
        <v>48</v>
      </c>
    </row>
    <row r="15" spans="1:13" ht="25.5" x14ac:dyDescent="0.25">
      <c r="A15" s="15" t="s">
        <v>92</v>
      </c>
      <c r="B15" s="20" t="s">
        <v>10</v>
      </c>
      <c r="C15" s="17" t="s">
        <v>84</v>
      </c>
      <c r="D15" s="17" t="s">
        <v>93</v>
      </c>
      <c r="E15" s="17" t="s">
        <v>17</v>
      </c>
      <c r="F15" s="17" t="s">
        <v>94</v>
      </c>
      <c r="G15" s="17" t="s">
        <v>45</v>
      </c>
      <c r="H15" s="18">
        <v>2</v>
      </c>
      <c r="I15" s="18">
        <v>2</v>
      </c>
      <c r="J15" s="18">
        <f t="shared" si="0"/>
        <v>1</v>
      </c>
      <c r="K15" s="17" t="s">
        <v>88</v>
      </c>
      <c r="L15" s="17" t="s">
        <v>95</v>
      </c>
      <c r="M15" s="17" t="s">
        <v>48</v>
      </c>
    </row>
    <row r="16" spans="1:13" x14ac:dyDescent="0.25">
      <c r="A16" s="15" t="s">
        <v>96</v>
      </c>
      <c r="B16" s="20" t="s">
        <v>10</v>
      </c>
      <c r="C16" s="17" t="s">
        <v>84</v>
      </c>
      <c r="D16" s="17" t="s">
        <v>97</v>
      </c>
      <c r="E16" s="17" t="s">
        <v>19</v>
      </c>
      <c r="F16" s="17" t="s">
        <v>98</v>
      </c>
      <c r="G16" s="17" t="s">
        <v>45</v>
      </c>
      <c r="H16" s="18">
        <v>2</v>
      </c>
      <c r="I16" s="18">
        <v>2</v>
      </c>
      <c r="J16" s="18">
        <f t="shared" si="0"/>
        <v>1</v>
      </c>
      <c r="K16" s="17" t="s">
        <v>92</v>
      </c>
      <c r="L16" s="17" t="s">
        <v>99</v>
      </c>
      <c r="M16" s="17" t="s">
        <v>48</v>
      </c>
    </row>
    <row r="17" spans="1:13" ht="25.5" x14ac:dyDescent="0.25">
      <c r="A17" s="15" t="s">
        <v>100</v>
      </c>
      <c r="B17" s="20" t="s">
        <v>10</v>
      </c>
      <c r="C17" s="17" t="s">
        <v>101</v>
      </c>
      <c r="D17" s="17" t="s">
        <v>102</v>
      </c>
      <c r="E17" s="17" t="s">
        <v>18</v>
      </c>
      <c r="F17" s="17" t="s">
        <v>64</v>
      </c>
      <c r="G17" s="17" t="s">
        <v>45</v>
      </c>
      <c r="H17" s="18">
        <v>1</v>
      </c>
      <c r="I17" s="18">
        <v>1</v>
      </c>
      <c r="J17" s="18">
        <f t="shared" si="0"/>
        <v>1</v>
      </c>
      <c r="K17" s="17" t="s">
        <v>46</v>
      </c>
      <c r="L17" s="17" t="s">
        <v>103</v>
      </c>
      <c r="M17" s="17" t="s">
        <v>48</v>
      </c>
    </row>
    <row r="18" spans="1:13" ht="25.5" x14ac:dyDescent="0.25">
      <c r="A18" s="15" t="s">
        <v>104</v>
      </c>
      <c r="B18" s="20" t="s">
        <v>10</v>
      </c>
      <c r="C18" s="17" t="s">
        <v>101</v>
      </c>
      <c r="D18" s="17" t="s">
        <v>105</v>
      </c>
      <c r="E18" s="17" t="s">
        <v>17</v>
      </c>
      <c r="F18" s="17" t="s">
        <v>94</v>
      </c>
      <c r="G18" s="17" t="s">
        <v>45</v>
      </c>
      <c r="H18" s="18">
        <v>2</v>
      </c>
      <c r="I18" s="18">
        <v>3</v>
      </c>
      <c r="J18" s="18">
        <f t="shared" si="0"/>
        <v>2</v>
      </c>
      <c r="K18" s="17" t="s">
        <v>100</v>
      </c>
      <c r="L18" s="17" t="s">
        <v>106</v>
      </c>
      <c r="M18" s="17" t="s">
        <v>48</v>
      </c>
    </row>
    <row r="19" spans="1:13" x14ac:dyDescent="0.25">
      <c r="A19" s="15" t="s">
        <v>107</v>
      </c>
      <c r="B19" s="20" t="s">
        <v>10</v>
      </c>
      <c r="C19" s="17" t="s">
        <v>101</v>
      </c>
      <c r="D19" s="17" t="s">
        <v>108</v>
      </c>
      <c r="E19" s="17" t="s">
        <v>19</v>
      </c>
      <c r="F19" s="17" t="s">
        <v>98</v>
      </c>
      <c r="G19" s="17" t="s">
        <v>45</v>
      </c>
      <c r="H19" s="18">
        <v>3</v>
      </c>
      <c r="I19" s="18">
        <v>3</v>
      </c>
      <c r="J19" s="18">
        <f t="shared" si="0"/>
        <v>1</v>
      </c>
      <c r="K19" s="17" t="s">
        <v>104</v>
      </c>
      <c r="L19" s="17" t="s">
        <v>109</v>
      </c>
      <c r="M19" s="17" t="s">
        <v>48</v>
      </c>
    </row>
    <row r="20" spans="1:13" ht="25.5" x14ac:dyDescent="0.25">
      <c r="A20" s="15" t="s">
        <v>110</v>
      </c>
      <c r="B20" s="20" t="s">
        <v>10</v>
      </c>
      <c r="C20" s="17" t="s">
        <v>111</v>
      </c>
      <c r="D20" s="17" t="s">
        <v>112</v>
      </c>
      <c r="E20" s="17" t="s">
        <v>17</v>
      </c>
      <c r="F20" s="17" t="s">
        <v>90</v>
      </c>
      <c r="G20" s="17" t="s">
        <v>45</v>
      </c>
      <c r="H20" s="18">
        <v>1</v>
      </c>
      <c r="I20" s="18">
        <v>1</v>
      </c>
      <c r="J20" s="18">
        <f t="shared" si="0"/>
        <v>1</v>
      </c>
      <c r="K20" s="17" t="s">
        <v>46</v>
      </c>
      <c r="L20" s="17" t="s">
        <v>113</v>
      </c>
      <c r="M20" s="17" t="s">
        <v>48</v>
      </c>
    </row>
    <row r="21" spans="1:13" x14ac:dyDescent="0.25">
      <c r="A21" s="15" t="s">
        <v>114</v>
      </c>
      <c r="B21" s="20" t="s">
        <v>10</v>
      </c>
      <c r="C21" s="17" t="s">
        <v>111</v>
      </c>
      <c r="D21" s="17" t="s">
        <v>115</v>
      </c>
      <c r="E21" s="17" t="s">
        <v>18</v>
      </c>
      <c r="F21" s="17" t="s">
        <v>64</v>
      </c>
      <c r="G21" s="17" t="s">
        <v>45</v>
      </c>
      <c r="H21" s="18">
        <v>1</v>
      </c>
      <c r="I21" s="18">
        <v>1</v>
      </c>
      <c r="J21" s="18">
        <f t="shared" si="0"/>
        <v>1</v>
      </c>
      <c r="K21" s="17" t="s">
        <v>46</v>
      </c>
      <c r="L21" s="17" t="s">
        <v>116</v>
      </c>
      <c r="M21" s="17" t="s">
        <v>48</v>
      </c>
    </row>
    <row r="22" spans="1:13" ht="25.5" x14ac:dyDescent="0.25">
      <c r="A22" s="15" t="s">
        <v>117</v>
      </c>
      <c r="B22" s="20" t="s">
        <v>10</v>
      </c>
      <c r="C22" s="17" t="s">
        <v>111</v>
      </c>
      <c r="D22" s="17" t="s">
        <v>118</v>
      </c>
      <c r="E22" s="17" t="s">
        <v>17</v>
      </c>
      <c r="F22" s="17" t="s">
        <v>94</v>
      </c>
      <c r="G22" s="17" t="s">
        <v>45</v>
      </c>
      <c r="H22" s="18">
        <v>3</v>
      </c>
      <c r="I22" s="18">
        <v>4</v>
      </c>
      <c r="J22" s="18">
        <f t="shared" si="0"/>
        <v>2</v>
      </c>
      <c r="K22" s="17" t="s">
        <v>119</v>
      </c>
      <c r="L22" s="17" t="s">
        <v>120</v>
      </c>
      <c r="M22" s="17" t="s">
        <v>48</v>
      </c>
    </row>
    <row r="23" spans="1:13" x14ac:dyDescent="0.25">
      <c r="A23" s="15" t="s">
        <v>121</v>
      </c>
      <c r="B23" s="20" t="s">
        <v>10</v>
      </c>
      <c r="C23" s="17" t="s">
        <v>111</v>
      </c>
      <c r="D23" s="17" t="s">
        <v>122</v>
      </c>
      <c r="E23" s="17" t="s">
        <v>19</v>
      </c>
      <c r="F23" s="17" t="s">
        <v>98</v>
      </c>
      <c r="G23" s="17" t="s">
        <v>45</v>
      </c>
      <c r="H23" s="18">
        <v>4</v>
      </c>
      <c r="I23" s="18">
        <v>4</v>
      </c>
      <c r="J23" s="18">
        <f t="shared" si="0"/>
        <v>1</v>
      </c>
      <c r="K23" s="17" t="s">
        <v>117</v>
      </c>
      <c r="L23" s="17" t="s">
        <v>123</v>
      </c>
      <c r="M23" s="17" t="s">
        <v>48</v>
      </c>
    </row>
    <row r="24" spans="1:13" x14ac:dyDescent="0.25">
      <c r="A24" s="15" t="s">
        <v>124</v>
      </c>
      <c r="B24" s="20" t="s">
        <v>10</v>
      </c>
      <c r="C24" s="17" t="s">
        <v>125</v>
      </c>
      <c r="D24" s="17" t="s">
        <v>126</v>
      </c>
      <c r="E24" s="17" t="s">
        <v>18</v>
      </c>
      <c r="F24" s="17" t="s">
        <v>64</v>
      </c>
      <c r="G24" s="17" t="s">
        <v>78</v>
      </c>
      <c r="H24" s="18">
        <v>6</v>
      </c>
      <c r="I24" s="18">
        <v>6</v>
      </c>
      <c r="J24" s="18">
        <f t="shared" si="0"/>
        <v>1</v>
      </c>
      <c r="K24" s="17" t="s">
        <v>73</v>
      </c>
      <c r="L24" s="17" t="s">
        <v>127</v>
      </c>
      <c r="M24" s="17" t="s">
        <v>48</v>
      </c>
    </row>
    <row r="25" spans="1:13" ht="25.5" x14ac:dyDescent="0.25">
      <c r="A25" s="15" t="s">
        <v>128</v>
      </c>
      <c r="B25" s="20" t="s">
        <v>10</v>
      </c>
      <c r="C25" s="17" t="s">
        <v>125</v>
      </c>
      <c r="D25" s="17" t="s">
        <v>129</v>
      </c>
      <c r="E25" s="17" t="s">
        <v>17</v>
      </c>
      <c r="F25" s="17" t="s">
        <v>94</v>
      </c>
      <c r="G25" s="17" t="s">
        <v>78</v>
      </c>
      <c r="H25" s="18">
        <v>7</v>
      </c>
      <c r="I25" s="18">
        <v>8</v>
      </c>
      <c r="J25" s="18">
        <f t="shared" si="0"/>
        <v>2</v>
      </c>
      <c r="K25" s="17" t="s">
        <v>124</v>
      </c>
      <c r="L25" s="17" t="s">
        <v>130</v>
      </c>
      <c r="M25" s="17" t="s">
        <v>48</v>
      </c>
    </row>
    <row r="26" spans="1:13" x14ac:dyDescent="0.25">
      <c r="A26" s="15" t="s">
        <v>131</v>
      </c>
      <c r="B26" s="20" t="s">
        <v>10</v>
      </c>
      <c r="C26" s="17" t="s">
        <v>125</v>
      </c>
      <c r="D26" s="17" t="s">
        <v>132</v>
      </c>
      <c r="E26" s="17" t="s">
        <v>19</v>
      </c>
      <c r="F26" s="17" t="s">
        <v>98</v>
      </c>
      <c r="G26" s="17" t="s">
        <v>78</v>
      </c>
      <c r="H26" s="18">
        <v>8</v>
      </c>
      <c r="I26" s="18">
        <v>8</v>
      </c>
      <c r="J26" s="18">
        <f t="shared" si="0"/>
        <v>1</v>
      </c>
      <c r="K26" s="17" t="s">
        <v>128</v>
      </c>
      <c r="L26" s="17" t="s">
        <v>133</v>
      </c>
      <c r="M26" s="17" t="s">
        <v>48</v>
      </c>
    </row>
    <row r="27" spans="1:13" ht="25.5" x14ac:dyDescent="0.25">
      <c r="A27" s="15" t="s">
        <v>134</v>
      </c>
      <c r="B27" s="20" t="s">
        <v>10</v>
      </c>
      <c r="C27" s="17" t="s">
        <v>135</v>
      </c>
      <c r="D27" s="17" t="s">
        <v>136</v>
      </c>
      <c r="E27" s="17" t="s">
        <v>17</v>
      </c>
      <c r="F27" s="17" t="s">
        <v>64</v>
      </c>
      <c r="G27" s="17" t="s">
        <v>78</v>
      </c>
      <c r="H27" s="18">
        <v>6</v>
      </c>
      <c r="I27" s="18">
        <v>6</v>
      </c>
      <c r="J27" s="18">
        <f t="shared" si="0"/>
        <v>1</v>
      </c>
      <c r="K27" s="17" t="s">
        <v>46</v>
      </c>
      <c r="L27" s="17" t="s">
        <v>137</v>
      </c>
      <c r="M27" s="17" t="s">
        <v>48</v>
      </c>
    </row>
    <row r="28" spans="1:13" ht="25.5" x14ac:dyDescent="0.25">
      <c r="A28" s="15" t="s">
        <v>138</v>
      </c>
      <c r="B28" s="20" t="s">
        <v>10</v>
      </c>
      <c r="C28" s="17" t="s">
        <v>135</v>
      </c>
      <c r="D28" s="17" t="s">
        <v>139</v>
      </c>
      <c r="E28" s="17" t="s">
        <v>17</v>
      </c>
      <c r="F28" s="17" t="s">
        <v>94</v>
      </c>
      <c r="G28" s="17" t="s">
        <v>78</v>
      </c>
      <c r="H28" s="18">
        <v>7</v>
      </c>
      <c r="I28" s="18">
        <v>7</v>
      </c>
      <c r="J28" s="18">
        <f t="shared" si="0"/>
        <v>1</v>
      </c>
      <c r="K28" s="17" t="s">
        <v>134</v>
      </c>
      <c r="L28" s="17" t="s">
        <v>140</v>
      </c>
      <c r="M28" s="17" t="s">
        <v>48</v>
      </c>
    </row>
    <row r="29" spans="1:13" x14ac:dyDescent="0.25">
      <c r="A29" s="15" t="s">
        <v>141</v>
      </c>
      <c r="B29" s="20" t="s">
        <v>10</v>
      </c>
      <c r="C29" s="17" t="s">
        <v>135</v>
      </c>
      <c r="D29" s="17" t="s">
        <v>142</v>
      </c>
      <c r="E29" s="17" t="s">
        <v>19</v>
      </c>
      <c r="F29" s="17" t="s">
        <v>98</v>
      </c>
      <c r="G29" s="17" t="s">
        <v>78</v>
      </c>
      <c r="H29" s="18">
        <v>8</v>
      </c>
      <c r="I29" s="18">
        <v>8</v>
      </c>
      <c r="J29" s="18">
        <f t="shared" si="0"/>
        <v>1</v>
      </c>
      <c r="K29" s="17" t="s">
        <v>138</v>
      </c>
      <c r="L29" s="17" t="s">
        <v>143</v>
      </c>
      <c r="M29" s="17" t="s">
        <v>48</v>
      </c>
    </row>
    <row r="30" spans="1:13" ht="25.5" x14ac:dyDescent="0.25">
      <c r="A30" s="15" t="s">
        <v>144</v>
      </c>
      <c r="B30" s="20" t="s">
        <v>10</v>
      </c>
      <c r="C30" s="17" t="s">
        <v>145</v>
      </c>
      <c r="D30" s="17" t="s">
        <v>146</v>
      </c>
      <c r="E30" s="17" t="s">
        <v>17</v>
      </c>
      <c r="F30" s="17" t="s">
        <v>147</v>
      </c>
      <c r="G30" s="17" t="s">
        <v>78</v>
      </c>
      <c r="H30" s="18">
        <v>8</v>
      </c>
      <c r="I30" s="18">
        <v>9</v>
      </c>
      <c r="J30" s="18">
        <f t="shared" si="0"/>
        <v>2</v>
      </c>
      <c r="K30" s="17" t="s">
        <v>148</v>
      </c>
      <c r="L30" s="17" t="s">
        <v>149</v>
      </c>
      <c r="M30" s="17" t="s">
        <v>48</v>
      </c>
    </row>
    <row r="31" spans="1:13" ht="25.5" x14ac:dyDescent="0.25">
      <c r="A31" s="15" t="s">
        <v>150</v>
      </c>
      <c r="B31" s="20" t="s">
        <v>10</v>
      </c>
      <c r="C31" s="17" t="s">
        <v>145</v>
      </c>
      <c r="D31" s="17" t="s">
        <v>151</v>
      </c>
      <c r="E31" s="17" t="s">
        <v>18</v>
      </c>
      <c r="F31" s="17" t="s">
        <v>94</v>
      </c>
      <c r="G31" s="17" t="s">
        <v>78</v>
      </c>
      <c r="H31" s="18">
        <v>9</v>
      </c>
      <c r="I31" s="18">
        <v>9</v>
      </c>
      <c r="J31" s="18">
        <f t="shared" si="0"/>
        <v>1</v>
      </c>
      <c r="K31" s="17" t="s">
        <v>144</v>
      </c>
      <c r="L31" s="17" t="s">
        <v>152</v>
      </c>
      <c r="M31" s="17" t="s">
        <v>48</v>
      </c>
    </row>
    <row r="32" spans="1:13" ht="25.5" x14ac:dyDescent="0.25">
      <c r="A32" s="15" t="s">
        <v>153</v>
      </c>
      <c r="B32" s="20" t="s">
        <v>10</v>
      </c>
      <c r="C32" s="17" t="s">
        <v>145</v>
      </c>
      <c r="D32" s="17" t="s">
        <v>154</v>
      </c>
      <c r="E32" s="17" t="s">
        <v>18</v>
      </c>
      <c r="F32" s="17" t="s">
        <v>98</v>
      </c>
      <c r="G32" s="17" t="s">
        <v>78</v>
      </c>
      <c r="H32" s="18">
        <v>9</v>
      </c>
      <c r="I32" s="18">
        <v>9</v>
      </c>
      <c r="J32" s="18">
        <f t="shared" si="0"/>
        <v>1</v>
      </c>
      <c r="K32" s="17" t="s">
        <v>144</v>
      </c>
      <c r="L32" s="17" t="s">
        <v>155</v>
      </c>
      <c r="M32" s="17" t="s">
        <v>48</v>
      </c>
    </row>
    <row r="33" spans="1:13" ht="25.5" x14ac:dyDescent="0.25">
      <c r="A33" s="15" t="s">
        <v>156</v>
      </c>
      <c r="B33" s="21" t="s">
        <v>11</v>
      </c>
      <c r="C33" s="17" t="s">
        <v>157</v>
      </c>
      <c r="D33" s="17" t="s">
        <v>158</v>
      </c>
      <c r="E33" s="17" t="s">
        <v>17</v>
      </c>
      <c r="F33" s="17" t="s">
        <v>147</v>
      </c>
      <c r="G33" s="17" t="s">
        <v>78</v>
      </c>
      <c r="H33" s="18">
        <v>6</v>
      </c>
      <c r="I33" s="18">
        <v>6</v>
      </c>
      <c r="J33" s="18">
        <f t="shared" si="0"/>
        <v>1</v>
      </c>
      <c r="K33" s="17" t="s">
        <v>46</v>
      </c>
      <c r="L33" s="17" t="s">
        <v>159</v>
      </c>
      <c r="M33" s="17" t="s">
        <v>48</v>
      </c>
    </row>
    <row r="34" spans="1:13" ht="25.5" x14ac:dyDescent="0.25">
      <c r="A34" s="15" t="s">
        <v>148</v>
      </c>
      <c r="B34" s="21" t="s">
        <v>11</v>
      </c>
      <c r="C34" s="17" t="s">
        <v>157</v>
      </c>
      <c r="D34" s="17" t="s">
        <v>160</v>
      </c>
      <c r="E34" s="17" t="s">
        <v>17</v>
      </c>
      <c r="F34" s="17" t="s">
        <v>161</v>
      </c>
      <c r="G34" s="17" t="s">
        <v>78</v>
      </c>
      <c r="H34" s="18">
        <v>6</v>
      </c>
      <c r="I34" s="18">
        <v>7</v>
      </c>
      <c r="J34" s="18">
        <f t="shared" si="0"/>
        <v>2</v>
      </c>
      <c r="K34" s="17" t="s">
        <v>156</v>
      </c>
      <c r="L34" s="17" t="s">
        <v>162</v>
      </c>
      <c r="M34" s="17" t="s">
        <v>48</v>
      </c>
    </row>
    <row r="35" spans="1:13" ht="25.5" x14ac:dyDescent="0.25">
      <c r="A35" s="15" t="s">
        <v>163</v>
      </c>
      <c r="B35" s="21" t="s">
        <v>11</v>
      </c>
      <c r="C35" s="17" t="s">
        <v>157</v>
      </c>
      <c r="D35" s="17" t="s">
        <v>164</v>
      </c>
      <c r="E35" s="17" t="s">
        <v>18</v>
      </c>
      <c r="F35" s="17" t="s">
        <v>90</v>
      </c>
      <c r="G35" s="17" t="s">
        <v>78</v>
      </c>
      <c r="H35" s="18">
        <v>7</v>
      </c>
      <c r="I35" s="18">
        <v>7</v>
      </c>
      <c r="J35" s="18">
        <f t="shared" si="0"/>
        <v>1</v>
      </c>
      <c r="K35" s="17" t="s">
        <v>148</v>
      </c>
      <c r="L35" s="17" t="s">
        <v>165</v>
      </c>
      <c r="M35" s="17" t="s">
        <v>48</v>
      </c>
    </row>
    <row r="36" spans="1:13" x14ac:dyDescent="0.25">
      <c r="A36" s="15" t="s">
        <v>166</v>
      </c>
      <c r="B36" s="22" t="s">
        <v>12</v>
      </c>
      <c r="C36" s="17" t="s">
        <v>167</v>
      </c>
      <c r="D36" s="17" t="s">
        <v>168</v>
      </c>
      <c r="E36" s="17" t="s">
        <v>17</v>
      </c>
      <c r="F36" s="17" t="s">
        <v>90</v>
      </c>
      <c r="G36" s="17" t="s">
        <v>78</v>
      </c>
      <c r="H36" s="18">
        <v>10</v>
      </c>
      <c r="I36" s="18">
        <v>10</v>
      </c>
      <c r="J36" s="18">
        <f t="shared" si="0"/>
        <v>1</v>
      </c>
      <c r="K36" s="17" t="s">
        <v>169</v>
      </c>
      <c r="L36" s="17" t="s">
        <v>170</v>
      </c>
      <c r="M36" s="17" t="s">
        <v>48</v>
      </c>
    </row>
    <row r="37" spans="1:13" x14ac:dyDescent="0.25">
      <c r="A37" s="15" t="s">
        <v>171</v>
      </c>
      <c r="B37" s="22" t="s">
        <v>12</v>
      </c>
      <c r="C37" s="17" t="s">
        <v>167</v>
      </c>
      <c r="D37" s="17" t="s">
        <v>172</v>
      </c>
      <c r="E37" s="17" t="s">
        <v>19</v>
      </c>
      <c r="F37" s="17" t="s">
        <v>90</v>
      </c>
      <c r="G37" s="17" t="s">
        <v>78</v>
      </c>
      <c r="H37" s="18">
        <v>10</v>
      </c>
      <c r="I37" s="18">
        <v>10</v>
      </c>
      <c r="J37" s="18">
        <f t="shared" si="0"/>
        <v>1</v>
      </c>
      <c r="K37" s="17" t="s">
        <v>166</v>
      </c>
      <c r="L37" s="17" t="s">
        <v>173</v>
      </c>
      <c r="M37" s="17" t="s">
        <v>48</v>
      </c>
    </row>
  </sheetData>
  <autoFilter ref="A1:M37" xr:uid="{00000000-0009-0000-0000-000001000000}"/>
  <conditionalFormatting sqref="B2:B37">
    <cfRule type="expression" dxfId="11" priority="5">
      <formula>$B2="Brand"</formula>
    </cfRule>
    <cfRule type="expression" dxfId="10" priority="6">
      <formula>$B2="Design System"</formula>
    </cfRule>
    <cfRule type="expression" dxfId="9" priority="7">
      <formula>$B2="Messaging &amp; CTA"</formula>
    </cfRule>
    <cfRule type="expression" dxfId="8" priority="8">
      <formula>$B2="Pricing &amp; Credits"</formula>
    </cfRule>
    <cfRule type="expression" dxfId="7" priority="9">
      <formula>$B2="Wrap-up"</formula>
    </cfRule>
  </conditionalFormatting>
  <conditionalFormatting sqref="E2:E37">
    <cfRule type="expression" dxfId="6" priority="2">
      <formula>$E2="P0 - Critical"</formula>
    </cfRule>
    <cfRule type="expression" dxfId="5" priority="3">
      <formula>$E2="P1 - High"</formula>
    </cfRule>
    <cfRule type="expression" dxfId="4" priority="4">
      <formula>$E2="P2 - Medium"</formula>
    </cfRule>
  </conditionalFormatting>
  <conditionalFormatting sqref="M2:M37">
    <cfRule type="expression" dxfId="3" priority="10">
      <formula>$M2="Not Started"</formula>
    </cfRule>
    <cfRule type="expression" dxfId="2" priority="11">
      <formula>$M2="In Progress"</formula>
    </cfRule>
    <cfRule type="expression" dxfId="1" priority="12">
      <formula>$M2="Done"</formula>
    </cfRule>
    <cfRule type="expression" dxfId="0" priority="13">
      <formula>$M2="Blocked"</formula>
    </cfRule>
  </conditionalFormatting>
  <dataValidations count="4">
    <dataValidation type="list" allowBlank="1" sqref="E2:E37" xr:uid="{00000000-0002-0000-0100-000000000000}">
      <formula1>"P0 - Critical,P1 - High,P2 - Medium"</formula1>
      <formula2>0</formula2>
    </dataValidation>
    <dataValidation type="list" allowBlank="1" sqref="F2:F37" xr:uid="{00000000-0002-0000-0100-000001000000}">
      <formula1>"PM,Brand Designer,Product Designer,Design Lead,Frontend Engineer,Backend Engineer,Copywriter,QA,PM/Analyst"</formula1>
      <formula2>0</formula2>
    </dataValidation>
    <dataValidation type="list" allowBlank="1" sqref="M2:M37" xr:uid="{00000000-0002-0000-0100-000002000000}">
      <formula1>"Not Started,In Progress,Done,Blocked"</formula1>
      <formula2>0</formula2>
    </dataValidation>
    <dataValidation type="list" allowBlank="1" sqref="B2:B37" xr:uid="{00000000-0002-0000-0100-000003000000}">
      <formula1>"Brand,Design System,Messaging &amp; CTA,Pricing &amp; Credits,Wrap-up"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x14ac:dyDescent="0.25"/>
  <cols>
    <col min="1" max="1" width="7" customWidth="1"/>
    <col min="2" max="2" width="46" customWidth="1"/>
    <col min="3" max="3" width="17" customWidth="1"/>
    <col min="4" max="13" width="6.5703125" customWidth="1"/>
  </cols>
  <sheetData>
    <row r="1" spans="1:13" ht="30" customHeight="1" x14ac:dyDescent="0.25">
      <c r="A1" s="6" t="s">
        <v>30</v>
      </c>
      <c r="B1" s="6" t="s">
        <v>32</v>
      </c>
      <c r="C1" s="6" t="s">
        <v>3</v>
      </c>
      <c r="D1" s="6" t="s">
        <v>174</v>
      </c>
      <c r="E1" s="6" t="s">
        <v>175</v>
      </c>
      <c r="F1" s="6" t="s">
        <v>176</v>
      </c>
      <c r="G1" s="6" t="s">
        <v>177</v>
      </c>
      <c r="H1" s="6" t="s">
        <v>178</v>
      </c>
      <c r="I1" s="6" t="s">
        <v>179</v>
      </c>
      <c r="J1" s="6" t="s">
        <v>180</v>
      </c>
      <c r="K1" s="6" t="s">
        <v>181</v>
      </c>
      <c r="L1" s="6" t="s">
        <v>182</v>
      </c>
      <c r="M1" s="6" t="s">
        <v>183</v>
      </c>
    </row>
    <row r="2" spans="1:13" ht="25.5" x14ac:dyDescent="0.25">
      <c r="A2" s="23" t="s">
        <v>41</v>
      </c>
      <c r="B2" s="24" t="s">
        <v>43</v>
      </c>
      <c r="C2" s="25" t="s">
        <v>8</v>
      </c>
      <c r="D2" s="26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25">
      <c r="A3" s="23" t="s">
        <v>49</v>
      </c>
      <c r="B3" s="24" t="s">
        <v>50</v>
      </c>
      <c r="C3" s="25" t="s">
        <v>8</v>
      </c>
      <c r="D3" s="26"/>
      <c r="E3" s="26"/>
      <c r="F3" s="27"/>
      <c r="G3" s="27"/>
      <c r="H3" s="27"/>
      <c r="I3" s="27"/>
      <c r="J3" s="27"/>
      <c r="K3" s="27"/>
      <c r="L3" s="27"/>
      <c r="M3" s="27"/>
    </row>
    <row r="4" spans="1:13" x14ac:dyDescent="0.25">
      <c r="A4" s="23" t="s">
        <v>52</v>
      </c>
      <c r="B4" s="24" t="s">
        <v>53</v>
      </c>
      <c r="C4" s="25" t="s">
        <v>8</v>
      </c>
      <c r="D4" s="27"/>
      <c r="E4" s="26"/>
      <c r="F4" s="27"/>
      <c r="G4" s="27"/>
      <c r="H4" s="27"/>
      <c r="I4" s="27"/>
      <c r="J4" s="27"/>
      <c r="K4" s="27"/>
      <c r="L4" s="27"/>
      <c r="M4" s="27"/>
    </row>
    <row r="5" spans="1:13" x14ac:dyDescent="0.25">
      <c r="A5" s="23" t="s">
        <v>55</v>
      </c>
      <c r="B5" s="24" t="s">
        <v>56</v>
      </c>
      <c r="C5" s="25" t="s">
        <v>8</v>
      </c>
      <c r="D5" s="27"/>
      <c r="E5" s="26"/>
      <c r="F5" s="27"/>
      <c r="G5" s="27"/>
      <c r="H5" s="27"/>
      <c r="I5" s="27"/>
      <c r="J5" s="27"/>
      <c r="K5" s="27"/>
      <c r="L5" s="27"/>
      <c r="M5" s="27"/>
    </row>
    <row r="6" spans="1:13" x14ac:dyDescent="0.25">
      <c r="A6" s="23" t="s">
        <v>58</v>
      </c>
      <c r="B6" s="24" t="s">
        <v>59</v>
      </c>
      <c r="C6" s="25" t="s">
        <v>8</v>
      </c>
      <c r="D6" s="27"/>
      <c r="E6" s="26"/>
      <c r="F6" s="27"/>
      <c r="G6" s="27"/>
      <c r="H6" s="27"/>
      <c r="I6" s="27"/>
      <c r="J6" s="27"/>
      <c r="K6" s="27"/>
      <c r="L6" s="27"/>
      <c r="M6" s="27"/>
    </row>
    <row r="7" spans="1:13" x14ac:dyDescent="0.25">
      <c r="A7" s="23" t="s">
        <v>61</v>
      </c>
      <c r="B7" s="24" t="s">
        <v>63</v>
      </c>
      <c r="C7" s="28" t="s">
        <v>9</v>
      </c>
      <c r="D7" s="29"/>
      <c r="E7" s="29"/>
      <c r="F7" s="27"/>
      <c r="G7" s="27"/>
      <c r="H7" s="27"/>
      <c r="I7" s="27"/>
      <c r="J7" s="27"/>
      <c r="K7" s="27"/>
      <c r="L7" s="27"/>
      <c r="M7" s="27"/>
    </row>
    <row r="8" spans="1:13" ht="25.5" x14ac:dyDescent="0.25">
      <c r="A8" s="23" t="s">
        <v>66</v>
      </c>
      <c r="B8" s="24" t="s">
        <v>67</v>
      </c>
      <c r="C8" s="28" t="s">
        <v>9</v>
      </c>
      <c r="D8" s="27"/>
      <c r="E8" s="29"/>
      <c r="F8" s="29"/>
      <c r="G8" s="27"/>
      <c r="H8" s="27"/>
      <c r="I8" s="27"/>
      <c r="J8" s="27"/>
      <c r="K8" s="27"/>
      <c r="L8" s="27"/>
      <c r="M8" s="27"/>
    </row>
    <row r="9" spans="1:13" x14ac:dyDescent="0.25">
      <c r="A9" s="23" t="s">
        <v>70</v>
      </c>
      <c r="B9" s="24" t="s">
        <v>71</v>
      </c>
      <c r="C9" s="28" t="s">
        <v>9</v>
      </c>
      <c r="D9" s="27"/>
      <c r="E9" s="27"/>
      <c r="F9" s="29"/>
      <c r="G9" s="27"/>
      <c r="H9" s="27"/>
      <c r="I9" s="27"/>
      <c r="J9" s="27"/>
      <c r="K9" s="27"/>
      <c r="L9" s="27"/>
      <c r="M9" s="27"/>
    </row>
    <row r="10" spans="1:13" ht="25.5" x14ac:dyDescent="0.25">
      <c r="A10" s="23" t="s">
        <v>73</v>
      </c>
      <c r="B10" s="24" t="s">
        <v>74</v>
      </c>
      <c r="C10" s="28" t="s">
        <v>9</v>
      </c>
      <c r="D10" s="27"/>
      <c r="E10" s="27"/>
      <c r="F10" s="29"/>
      <c r="G10" s="29"/>
      <c r="H10" s="27"/>
      <c r="I10" s="27"/>
      <c r="J10" s="27"/>
      <c r="K10" s="27"/>
      <c r="L10" s="27"/>
      <c r="M10" s="27"/>
    </row>
    <row r="11" spans="1:13" ht="25.5" x14ac:dyDescent="0.25">
      <c r="A11" s="23" t="s">
        <v>76</v>
      </c>
      <c r="B11" s="24" t="s">
        <v>77</v>
      </c>
      <c r="C11" s="28" t="s">
        <v>9</v>
      </c>
      <c r="D11" s="27"/>
      <c r="E11" s="27"/>
      <c r="F11" s="27"/>
      <c r="G11" s="27"/>
      <c r="H11" s="27"/>
      <c r="I11" s="29"/>
      <c r="J11" s="29"/>
      <c r="K11" s="29"/>
      <c r="L11" s="27"/>
      <c r="M11" s="27"/>
    </row>
    <row r="12" spans="1:13" x14ac:dyDescent="0.25">
      <c r="A12" s="23" t="s">
        <v>80</v>
      </c>
      <c r="B12" s="24" t="s">
        <v>81</v>
      </c>
      <c r="C12" s="28" t="s">
        <v>9</v>
      </c>
      <c r="D12" s="27"/>
      <c r="E12" s="27"/>
      <c r="F12" s="27"/>
      <c r="G12" s="27"/>
      <c r="H12" s="27"/>
      <c r="I12" s="27"/>
      <c r="J12" s="27"/>
      <c r="K12" s="29"/>
      <c r="L12" s="29"/>
      <c r="M12" s="27"/>
    </row>
    <row r="13" spans="1:13" ht="25.5" x14ac:dyDescent="0.25">
      <c r="A13" s="23" t="s">
        <v>83</v>
      </c>
      <c r="B13" s="24" t="s">
        <v>85</v>
      </c>
      <c r="C13" s="30" t="s">
        <v>10</v>
      </c>
      <c r="D13" s="31"/>
      <c r="E13" s="27"/>
      <c r="F13" s="27"/>
      <c r="G13" s="27"/>
      <c r="H13" s="27"/>
      <c r="I13" s="27"/>
      <c r="J13" s="27"/>
      <c r="K13" s="27"/>
      <c r="L13" s="27"/>
      <c r="M13" s="27"/>
    </row>
    <row r="14" spans="1:13" x14ac:dyDescent="0.25">
      <c r="A14" s="23" t="s">
        <v>88</v>
      </c>
      <c r="B14" s="24" t="s">
        <v>89</v>
      </c>
      <c r="C14" s="30" t="s">
        <v>10</v>
      </c>
      <c r="D14" s="31"/>
      <c r="E14" s="31"/>
      <c r="F14" s="27"/>
      <c r="G14" s="27"/>
      <c r="H14" s="27"/>
      <c r="I14" s="27"/>
      <c r="J14" s="27"/>
      <c r="K14" s="27"/>
      <c r="L14" s="27"/>
      <c r="M14" s="27"/>
    </row>
    <row r="15" spans="1:13" x14ac:dyDescent="0.25">
      <c r="A15" s="23" t="s">
        <v>92</v>
      </c>
      <c r="B15" s="24" t="s">
        <v>93</v>
      </c>
      <c r="C15" s="30" t="s">
        <v>10</v>
      </c>
      <c r="D15" s="27"/>
      <c r="E15" s="31"/>
      <c r="F15" s="27"/>
      <c r="G15" s="27"/>
      <c r="H15" s="27"/>
      <c r="I15" s="27"/>
      <c r="J15" s="27"/>
      <c r="K15" s="27"/>
      <c r="L15" s="27"/>
      <c r="M15" s="27"/>
    </row>
    <row r="16" spans="1:13" x14ac:dyDescent="0.25">
      <c r="A16" s="23" t="s">
        <v>96</v>
      </c>
      <c r="B16" s="24" t="s">
        <v>97</v>
      </c>
      <c r="C16" s="30" t="s">
        <v>10</v>
      </c>
      <c r="D16" s="27"/>
      <c r="E16" s="31"/>
      <c r="F16" s="27"/>
      <c r="G16" s="27"/>
      <c r="H16" s="27"/>
      <c r="I16" s="27"/>
      <c r="J16" s="27"/>
      <c r="K16" s="27"/>
      <c r="L16" s="27"/>
      <c r="M16" s="27"/>
    </row>
    <row r="17" spans="1:13" x14ac:dyDescent="0.25">
      <c r="A17" s="23" t="s">
        <v>100</v>
      </c>
      <c r="B17" s="24" t="s">
        <v>102</v>
      </c>
      <c r="C17" s="30" t="s">
        <v>10</v>
      </c>
      <c r="D17" s="31"/>
      <c r="E17" s="27"/>
      <c r="F17" s="27"/>
      <c r="G17" s="27"/>
      <c r="H17" s="27"/>
      <c r="I17" s="27"/>
      <c r="J17" s="27"/>
      <c r="K17" s="27"/>
      <c r="L17" s="27"/>
      <c r="M17" s="27"/>
    </row>
    <row r="18" spans="1:13" x14ac:dyDescent="0.25">
      <c r="A18" s="23" t="s">
        <v>104</v>
      </c>
      <c r="B18" s="24" t="s">
        <v>105</v>
      </c>
      <c r="C18" s="30" t="s">
        <v>10</v>
      </c>
      <c r="D18" s="27"/>
      <c r="E18" s="31"/>
      <c r="F18" s="31"/>
      <c r="G18" s="27"/>
      <c r="H18" s="27"/>
      <c r="I18" s="27"/>
      <c r="J18" s="27"/>
      <c r="K18" s="27"/>
      <c r="L18" s="27"/>
      <c r="M18" s="27"/>
    </row>
    <row r="19" spans="1:13" x14ac:dyDescent="0.25">
      <c r="A19" s="23" t="s">
        <v>107</v>
      </c>
      <c r="B19" s="24" t="s">
        <v>108</v>
      </c>
      <c r="C19" s="30" t="s">
        <v>10</v>
      </c>
      <c r="D19" s="27"/>
      <c r="E19" s="27"/>
      <c r="F19" s="31"/>
      <c r="G19" s="27"/>
      <c r="H19" s="27"/>
      <c r="I19" s="27"/>
      <c r="J19" s="27"/>
      <c r="K19" s="27"/>
      <c r="L19" s="27"/>
      <c r="M19" s="27"/>
    </row>
    <row r="20" spans="1:13" x14ac:dyDescent="0.25">
      <c r="A20" s="23" t="s">
        <v>110</v>
      </c>
      <c r="B20" s="24" t="s">
        <v>112</v>
      </c>
      <c r="C20" s="30" t="s">
        <v>10</v>
      </c>
      <c r="D20" s="31"/>
      <c r="E20" s="27"/>
      <c r="F20" s="27"/>
      <c r="G20" s="27"/>
      <c r="H20" s="27"/>
      <c r="I20" s="27"/>
      <c r="J20" s="27"/>
      <c r="K20" s="27"/>
      <c r="L20" s="27"/>
      <c r="M20" s="27"/>
    </row>
    <row r="21" spans="1:13" x14ac:dyDescent="0.25">
      <c r="A21" s="23" t="s">
        <v>114</v>
      </c>
      <c r="B21" s="24" t="s">
        <v>115</v>
      </c>
      <c r="C21" s="30" t="s">
        <v>10</v>
      </c>
      <c r="D21" s="31"/>
      <c r="E21" s="27"/>
      <c r="F21" s="27"/>
      <c r="G21" s="27"/>
      <c r="H21" s="27"/>
      <c r="I21" s="27"/>
      <c r="J21" s="27"/>
      <c r="K21" s="27"/>
      <c r="L21" s="27"/>
      <c r="M21" s="27"/>
    </row>
    <row r="22" spans="1:13" x14ac:dyDescent="0.25">
      <c r="A22" s="23" t="s">
        <v>117</v>
      </c>
      <c r="B22" s="24" t="s">
        <v>118</v>
      </c>
      <c r="C22" s="30" t="s">
        <v>10</v>
      </c>
      <c r="D22" s="27"/>
      <c r="E22" s="27"/>
      <c r="F22" s="31"/>
      <c r="G22" s="31"/>
      <c r="H22" s="27"/>
      <c r="I22" s="27"/>
      <c r="J22" s="27"/>
      <c r="K22" s="27"/>
      <c r="L22" s="27"/>
      <c r="M22" s="27"/>
    </row>
    <row r="23" spans="1:13" x14ac:dyDescent="0.25">
      <c r="A23" s="23" t="s">
        <v>121</v>
      </c>
      <c r="B23" s="24" t="s">
        <v>122</v>
      </c>
      <c r="C23" s="30" t="s">
        <v>10</v>
      </c>
      <c r="D23" s="27"/>
      <c r="E23" s="27"/>
      <c r="F23" s="27"/>
      <c r="G23" s="31"/>
      <c r="H23" s="27"/>
      <c r="I23" s="27"/>
      <c r="J23" s="27"/>
      <c r="K23" s="27"/>
      <c r="L23" s="27"/>
      <c r="M23" s="27"/>
    </row>
    <row r="24" spans="1:13" x14ac:dyDescent="0.25">
      <c r="A24" s="23" t="s">
        <v>124</v>
      </c>
      <c r="B24" s="24" t="s">
        <v>126</v>
      </c>
      <c r="C24" s="30" t="s">
        <v>10</v>
      </c>
      <c r="D24" s="27"/>
      <c r="E24" s="27"/>
      <c r="F24" s="27"/>
      <c r="G24" s="27"/>
      <c r="H24" s="27"/>
      <c r="I24" s="31"/>
      <c r="J24" s="27"/>
      <c r="K24" s="27"/>
      <c r="L24" s="27"/>
      <c r="M24" s="27"/>
    </row>
    <row r="25" spans="1:13" x14ac:dyDescent="0.25">
      <c r="A25" s="23" t="s">
        <v>128</v>
      </c>
      <c r="B25" s="24" t="s">
        <v>129</v>
      </c>
      <c r="C25" s="30" t="s">
        <v>10</v>
      </c>
      <c r="D25" s="27"/>
      <c r="E25" s="27"/>
      <c r="F25" s="27"/>
      <c r="G25" s="27"/>
      <c r="H25" s="27"/>
      <c r="I25" s="27"/>
      <c r="J25" s="31"/>
      <c r="K25" s="31"/>
      <c r="L25" s="27"/>
      <c r="M25" s="27"/>
    </row>
    <row r="26" spans="1:13" x14ac:dyDescent="0.25">
      <c r="A26" s="23" t="s">
        <v>131</v>
      </c>
      <c r="B26" s="24" t="s">
        <v>132</v>
      </c>
      <c r="C26" s="30" t="s">
        <v>10</v>
      </c>
      <c r="D26" s="27"/>
      <c r="E26" s="27"/>
      <c r="F26" s="27"/>
      <c r="G26" s="27"/>
      <c r="H26" s="27"/>
      <c r="I26" s="27"/>
      <c r="J26" s="27"/>
      <c r="K26" s="31"/>
      <c r="L26" s="27"/>
      <c r="M26" s="27"/>
    </row>
    <row r="27" spans="1:13" ht="25.5" x14ac:dyDescent="0.25">
      <c r="A27" s="23" t="s">
        <v>134</v>
      </c>
      <c r="B27" s="24" t="s">
        <v>136</v>
      </c>
      <c r="C27" s="30" t="s">
        <v>10</v>
      </c>
      <c r="D27" s="27"/>
      <c r="E27" s="27"/>
      <c r="F27" s="27"/>
      <c r="G27" s="27"/>
      <c r="H27" s="27"/>
      <c r="I27" s="31"/>
      <c r="J27" s="27"/>
      <c r="K27" s="27"/>
      <c r="L27" s="27"/>
      <c r="M27" s="27"/>
    </row>
    <row r="28" spans="1:13" x14ac:dyDescent="0.25">
      <c r="A28" s="23" t="s">
        <v>138</v>
      </c>
      <c r="B28" s="24" t="s">
        <v>139</v>
      </c>
      <c r="C28" s="30" t="s">
        <v>10</v>
      </c>
      <c r="D28" s="27"/>
      <c r="E28" s="27"/>
      <c r="F28" s="27"/>
      <c r="G28" s="27"/>
      <c r="H28" s="27"/>
      <c r="I28" s="27"/>
      <c r="J28" s="31"/>
      <c r="K28" s="27"/>
      <c r="L28" s="27"/>
      <c r="M28" s="27"/>
    </row>
    <row r="29" spans="1:13" x14ac:dyDescent="0.25">
      <c r="A29" s="23" t="s">
        <v>141</v>
      </c>
      <c r="B29" s="24" t="s">
        <v>142</v>
      </c>
      <c r="C29" s="30" t="s">
        <v>10</v>
      </c>
      <c r="D29" s="27"/>
      <c r="E29" s="27"/>
      <c r="F29" s="27"/>
      <c r="G29" s="27"/>
      <c r="H29" s="27"/>
      <c r="I29" s="27"/>
      <c r="J29" s="27"/>
      <c r="K29" s="31"/>
      <c r="L29" s="27"/>
      <c r="M29" s="27"/>
    </row>
    <row r="30" spans="1:13" x14ac:dyDescent="0.25">
      <c r="A30" s="23" t="s">
        <v>144</v>
      </c>
      <c r="B30" s="24" t="s">
        <v>146</v>
      </c>
      <c r="C30" s="30" t="s">
        <v>10</v>
      </c>
      <c r="D30" s="27"/>
      <c r="E30" s="27"/>
      <c r="F30" s="27"/>
      <c r="G30" s="27"/>
      <c r="H30" s="27"/>
      <c r="I30" s="27"/>
      <c r="J30" s="27"/>
      <c r="K30" s="31"/>
      <c r="L30" s="31"/>
      <c r="M30" s="27"/>
    </row>
    <row r="31" spans="1:13" x14ac:dyDescent="0.25">
      <c r="A31" s="23" t="s">
        <v>150</v>
      </c>
      <c r="B31" s="24" t="s">
        <v>151</v>
      </c>
      <c r="C31" s="30" t="s">
        <v>10</v>
      </c>
      <c r="D31" s="27"/>
      <c r="E31" s="27"/>
      <c r="F31" s="27"/>
      <c r="G31" s="27"/>
      <c r="H31" s="27"/>
      <c r="I31" s="27"/>
      <c r="J31" s="27"/>
      <c r="K31" s="27"/>
      <c r="L31" s="31"/>
      <c r="M31" s="27"/>
    </row>
    <row r="32" spans="1:13" x14ac:dyDescent="0.25">
      <c r="A32" s="23" t="s">
        <v>153</v>
      </c>
      <c r="B32" s="24" t="s">
        <v>154</v>
      </c>
      <c r="C32" s="30" t="s">
        <v>10</v>
      </c>
      <c r="D32" s="27"/>
      <c r="E32" s="27"/>
      <c r="F32" s="27"/>
      <c r="G32" s="27"/>
      <c r="H32" s="27"/>
      <c r="I32" s="27"/>
      <c r="J32" s="27"/>
      <c r="K32" s="27"/>
      <c r="L32" s="31"/>
      <c r="M32" s="27"/>
    </row>
    <row r="33" spans="1:13" x14ac:dyDescent="0.25">
      <c r="A33" s="23" t="s">
        <v>156</v>
      </c>
      <c r="B33" s="24" t="s">
        <v>158</v>
      </c>
      <c r="C33" s="32" t="s">
        <v>11</v>
      </c>
      <c r="D33" s="27"/>
      <c r="E33" s="27"/>
      <c r="F33" s="27"/>
      <c r="G33" s="27"/>
      <c r="H33" s="27"/>
      <c r="I33" s="33"/>
      <c r="J33" s="27"/>
      <c r="K33" s="27"/>
      <c r="L33" s="27"/>
      <c r="M33" s="27"/>
    </row>
    <row r="34" spans="1:13" x14ac:dyDescent="0.25">
      <c r="A34" s="23" t="s">
        <v>148</v>
      </c>
      <c r="B34" s="24" t="s">
        <v>160</v>
      </c>
      <c r="C34" s="32" t="s">
        <v>11</v>
      </c>
      <c r="D34" s="27"/>
      <c r="E34" s="27"/>
      <c r="F34" s="27"/>
      <c r="G34" s="27"/>
      <c r="H34" s="27"/>
      <c r="I34" s="33"/>
      <c r="J34" s="33"/>
      <c r="K34" s="27"/>
      <c r="L34" s="27"/>
      <c r="M34" s="27"/>
    </row>
    <row r="35" spans="1:13" x14ac:dyDescent="0.25">
      <c r="A35" s="23" t="s">
        <v>163</v>
      </c>
      <c r="B35" s="24" t="s">
        <v>164</v>
      </c>
      <c r="C35" s="32" t="s">
        <v>11</v>
      </c>
      <c r="D35" s="27"/>
      <c r="E35" s="27"/>
      <c r="F35" s="27"/>
      <c r="G35" s="27"/>
      <c r="H35" s="27"/>
      <c r="I35" s="27"/>
      <c r="J35" s="33"/>
      <c r="K35" s="27"/>
      <c r="L35" s="27"/>
      <c r="M35" s="27"/>
    </row>
    <row r="36" spans="1:13" x14ac:dyDescent="0.25">
      <c r="A36" s="23" t="s">
        <v>166</v>
      </c>
      <c r="B36" s="24" t="s">
        <v>168</v>
      </c>
      <c r="C36" s="34" t="s">
        <v>12</v>
      </c>
      <c r="D36" s="27"/>
      <c r="E36" s="27"/>
      <c r="F36" s="27"/>
      <c r="G36" s="27"/>
      <c r="H36" s="27"/>
      <c r="I36" s="27"/>
      <c r="J36" s="27"/>
      <c r="K36" s="27"/>
      <c r="L36" s="27"/>
      <c r="M36" s="35"/>
    </row>
    <row r="37" spans="1:13" x14ac:dyDescent="0.25">
      <c r="A37" s="23" t="s">
        <v>171</v>
      </c>
      <c r="B37" s="24" t="s">
        <v>172</v>
      </c>
      <c r="C37" s="34" t="s">
        <v>12</v>
      </c>
      <c r="D37" s="27"/>
      <c r="E37" s="27"/>
      <c r="F37" s="27"/>
      <c r="G37" s="27"/>
      <c r="H37" s="27"/>
      <c r="I37" s="27"/>
      <c r="J37" s="27"/>
      <c r="K37" s="27"/>
      <c r="L37" s="27"/>
      <c r="M37" s="3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23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0" customWidth="1"/>
    <col min="3" max="3" width="55" customWidth="1"/>
  </cols>
  <sheetData>
    <row r="2" spans="2:3" ht="16.5" x14ac:dyDescent="0.25">
      <c r="B2" s="5" t="s">
        <v>184</v>
      </c>
    </row>
    <row r="4" spans="2:3" x14ac:dyDescent="0.25">
      <c r="B4" s="36" t="s">
        <v>15</v>
      </c>
    </row>
    <row r="5" spans="2:3" ht="27" x14ac:dyDescent="0.25">
      <c r="B5" s="11" t="s">
        <v>17</v>
      </c>
      <c r="C5" s="7" t="s">
        <v>185</v>
      </c>
    </row>
    <row r="6" spans="2:3" ht="27" x14ac:dyDescent="0.25">
      <c r="B6" s="13" t="s">
        <v>18</v>
      </c>
      <c r="C6" s="7" t="s">
        <v>186</v>
      </c>
    </row>
    <row r="7" spans="2:3" ht="27" x14ac:dyDescent="0.25">
      <c r="B7" s="14" t="s">
        <v>19</v>
      </c>
      <c r="C7" s="7" t="s">
        <v>187</v>
      </c>
    </row>
    <row r="10" spans="2:3" x14ac:dyDescent="0.25">
      <c r="B10" s="36" t="s">
        <v>3</v>
      </c>
    </row>
    <row r="11" spans="2:3" x14ac:dyDescent="0.25">
      <c r="B11" s="37" t="s">
        <v>8</v>
      </c>
      <c r="C11" s="27"/>
    </row>
    <row r="12" spans="2:3" x14ac:dyDescent="0.25">
      <c r="B12" s="38" t="s">
        <v>9</v>
      </c>
      <c r="C12" s="27"/>
    </row>
    <row r="13" spans="2:3" x14ac:dyDescent="0.25">
      <c r="B13" s="39" t="s">
        <v>10</v>
      </c>
      <c r="C13" s="27"/>
    </row>
    <row r="14" spans="2:3" x14ac:dyDescent="0.25">
      <c r="B14" s="40" t="s">
        <v>11</v>
      </c>
      <c r="C14" s="27"/>
    </row>
    <row r="15" spans="2:3" x14ac:dyDescent="0.25">
      <c r="B15" s="14" t="s">
        <v>12</v>
      </c>
      <c r="C15" s="27"/>
    </row>
    <row r="18" spans="2:4" x14ac:dyDescent="0.25">
      <c r="B18" s="36" t="s">
        <v>188</v>
      </c>
    </row>
    <row r="19" spans="2:4" ht="15" customHeight="1" x14ac:dyDescent="0.25">
      <c r="B19" s="1" t="s">
        <v>189</v>
      </c>
      <c r="C19" s="1"/>
      <c r="D19" s="1"/>
    </row>
    <row r="20" spans="2:4" ht="15" customHeight="1" x14ac:dyDescent="0.25">
      <c r="B20" s="1" t="s">
        <v>190</v>
      </c>
      <c r="C20" s="1"/>
      <c r="D20" s="1"/>
    </row>
    <row r="21" spans="2:4" ht="15" customHeight="1" x14ac:dyDescent="0.25">
      <c r="B21" s="1" t="s">
        <v>191</v>
      </c>
      <c r="C21" s="1"/>
      <c r="D21" s="1"/>
    </row>
    <row r="22" spans="2:4" ht="25.35" customHeight="1" x14ac:dyDescent="0.25">
      <c r="B22" s="1" t="s">
        <v>192</v>
      </c>
      <c r="C22" s="1"/>
      <c r="D22" s="1"/>
    </row>
    <row r="23" spans="2:4" ht="15" customHeight="1" x14ac:dyDescent="0.25">
      <c r="B23" s="1" t="s">
        <v>193</v>
      </c>
      <c r="C23" s="1"/>
      <c r="D23" s="1"/>
    </row>
  </sheetData>
  <mergeCells count="5">
    <mergeCell ref="B19:D19"/>
    <mergeCell ref="B20:D20"/>
    <mergeCell ref="B21:D21"/>
    <mergeCell ref="B22:D22"/>
    <mergeCell ref="B23:D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Phase 1 Tasks</vt:lpstr>
      <vt:lpstr>Gantt (Day 1-10)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Mariam Hambardzumyan</cp:lastModifiedBy>
  <cp:revision>0</cp:revision>
  <dcterms:created xsi:type="dcterms:W3CDTF">2026-09-17T08:13:42Z</dcterms:created>
  <dcterms:modified xsi:type="dcterms:W3CDTF">2026-09-17T18:11:25Z</dcterms:modified>
  <dc:language>en-US</dc:language>
</cp:coreProperties>
</file>